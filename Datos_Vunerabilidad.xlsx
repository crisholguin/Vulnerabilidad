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PROGRAMACION\IULITA\Vulnerabilidad\"/>
    </mc:Choice>
  </mc:AlternateContent>
  <bookViews>
    <workbookView xWindow="0" yWindow="0" windowWidth="12975" windowHeight="8325" activeTab="2"/>
  </bookViews>
  <sheets>
    <sheet name="COMPLETO" sheetId="1" r:id="rId1"/>
    <sheet name="referencia" sheetId="2" r:id="rId2"/>
    <sheet name="datos" sheetId="3" r:id="rId3"/>
    <sheet name="js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" l="1"/>
  <c r="I46" i="1"/>
  <c r="G46" i="1"/>
  <c r="I45" i="1"/>
  <c r="H45" i="1"/>
  <c r="G45" i="1"/>
  <c r="H44" i="1"/>
  <c r="I44" i="1"/>
  <c r="G44" i="1"/>
  <c r="H43" i="1"/>
  <c r="I43" i="1"/>
  <c r="G43" i="1"/>
</calcChain>
</file>

<file path=xl/sharedStrings.xml><?xml version="1.0" encoding="utf-8"?>
<sst xmlns="http://schemas.openxmlformats.org/spreadsheetml/2006/main" count="799" uniqueCount="163">
  <si>
    <t>Rio grande</t>
  </si>
  <si>
    <t>Ushuaia</t>
  </si>
  <si>
    <t>Tolhuin</t>
  </si>
  <si>
    <t>Servicios e infraestructura pública eficiente</t>
  </si>
  <si>
    <t>Exposición a factores de riesgo ambiental</t>
  </si>
  <si>
    <t>No está expuesto a factores de riesgo ambiental</t>
  </si>
  <si>
    <t>Está expuesto a factores de riesgo ambiental</t>
  </si>
  <si>
    <t>Cercania a vías de acceso (ruta, avenida, cruce de calles)</t>
  </si>
  <si>
    <t>Residen a más de 5 cuadras</t>
  </si>
  <si>
    <t>Reside a 5 cuadras o menos</t>
  </si>
  <si>
    <t>Acceso a servicios de educación y salud</t>
  </si>
  <si>
    <t>Residen a más de 5 cuadras de los servicios educativos y de salud</t>
  </si>
  <si>
    <t>Reside a menos de 5 cuadras de algún servicio educativo y/o de salud</t>
  </si>
  <si>
    <t>Calidad de los servicios sanitarios</t>
  </si>
  <si>
    <t>Sin datos</t>
  </si>
  <si>
    <t>Satisfactoria</t>
  </si>
  <si>
    <t>Básica</t>
  </si>
  <si>
    <t>Insatisfactoria</t>
  </si>
  <si>
    <t>Calidad de los materiales (resistencia, durabilidad y aislamiento)</t>
  </si>
  <si>
    <t>Calidad 1</t>
  </si>
  <si>
    <t>Calidad 2</t>
  </si>
  <si>
    <t>Calidad 3</t>
  </si>
  <si>
    <t>Calidad 4</t>
  </si>
  <si>
    <t>Indicador NBI Hacinamiento</t>
  </si>
  <si>
    <t>Sin Hacinamiento</t>
  </si>
  <si>
    <t>Con Hacinamiento</t>
  </si>
  <si>
    <t>Binario</t>
  </si>
  <si>
    <t>Categorizado</t>
  </si>
  <si>
    <t>Tipo de trabajo</t>
  </si>
  <si>
    <t>Trabajo formal-estable</t>
  </si>
  <si>
    <t>Informal-precario</t>
  </si>
  <si>
    <t>Condiciones de vulnerabilidad laboral</t>
  </si>
  <si>
    <t>Precariedad</t>
  </si>
  <si>
    <t>Informalidad</t>
  </si>
  <si>
    <t>Inestabilidad</t>
  </si>
  <si>
    <t>Informalidad y precariedad</t>
  </si>
  <si>
    <t>Informalidad, precariedad e inestabilidad</t>
  </si>
  <si>
    <t>Indice de Riesgo Infantil</t>
  </si>
  <si>
    <t>Condiciones de vulnerabilidad/pobreza-indicadores</t>
  </si>
  <si>
    <t>14,29</t>
  </si>
  <si>
    <t>16,67</t>
  </si>
  <si>
    <t>20,00</t>
  </si>
  <si>
    <t>25,00</t>
  </si>
  <si>
    <t>33,33</t>
  </si>
  <si>
    <t>40,00</t>
  </si>
  <si>
    <t>42,86</t>
  </si>
  <si>
    <t>50,00</t>
  </si>
  <si>
    <t>60,00</t>
  </si>
  <si>
    <t>66,67</t>
  </si>
  <si>
    <t>71,43</t>
  </si>
  <si>
    <t>80,00</t>
  </si>
  <si>
    <t>100,00</t>
  </si>
  <si>
    <t>150,00</t>
  </si>
  <si>
    <t>200,00</t>
  </si>
  <si>
    <t>300,00</t>
  </si>
  <si>
    <t>400,00</t>
  </si>
  <si>
    <t>500,00</t>
  </si>
  <si>
    <t>Tasa</t>
  </si>
  <si>
    <t>Tasa de dependencia adultos mayores</t>
  </si>
  <si>
    <t>Inseguridad alimentaria</t>
  </si>
  <si>
    <t>Línea de Pobreza</t>
  </si>
  <si>
    <t>NBI</t>
  </si>
  <si>
    <t>Inseguridad alimentaria y Línea de Pobreza</t>
  </si>
  <si>
    <t>Línea de Pobreza y NBI</t>
  </si>
  <si>
    <t>Inseguridad alimentaria y NBI</t>
  </si>
  <si>
    <t>Inseguridad alimentaria, Línea de Pobreza y NBI</t>
  </si>
  <si>
    <t>Indice de Riesgo Infantil (categorizado)</t>
  </si>
  <si>
    <t>Sin Riesgo</t>
  </si>
  <si>
    <t>Bajo</t>
  </si>
  <si>
    <t>Moderado</t>
  </si>
  <si>
    <t>Alto</t>
  </si>
  <si>
    <t>Tasa de dependencia infantil</t>
  </si>
  <si>
    <t>Sin vulnerabilidad laboral</t>
  </si>
  <si>
    <t>Servicios e infraestructura pública ineficientes</t>
  </si>
  <si>
    <t>Servicios e infraestructura pública eficientes</t>
  </si>
  <si>
    <t>cod_grupo</t>
  </si>
  <si>
    <t>grupo_nom</t>
  </si>
  <si>
    <t>cod_indicador</t>
  </si>
  <si>
    <t>indicador</t>
  </si>
  <si>
    <t>tipo</t>
  </si>
  <si>
    <t>10100</t>
  </si>
  <si>
    <t>10201</t>
  </si>
  <si>
    <t>10200</t>
  </si>
  <si>
    <t>10301</t>
  </si>
  <si>
    <t>10300</t>
  </si>
  <si>
    <t>10401</t>
  </si>
  <si>
    <t>10400</t>
  </si>
  <si>
    <t>10501</t>
  </si>
  <si>
    <t>10500</t>
  </si>
  <si>
    <t>10601</t>
  </si>
  <si>
    <t>10600</t>
  </si>
  <si>
    <t>20104</t>
  </si>
  <si>
    <t>20103</t>
  </si>
  <si>
    <t>20102</t>
  </si>
  <si>
    <t>20101</t>
  </si>
  <si>
    <t>20109</t>
  </si>
  <si>
    <t>20203</t>
  </si>
  <si>
    <t>20202</t>
  </si>
  <si>
    <t>20201</t>
  </si>
  <si>
    <t>20209</t>
  </si>
  <si>
    <t>20300</t>
  </si>
  <si>
    <t>20303</t>
  </si>
  <si>
    <t>20301</t>
  </si>
  <si>
    <t>20302</t>
  </si>
  <si>
    <t>20304</t>
  </si>
  <si>
    <t>20305</t>
  </si>
  <si>
    <t>20401</t>
  </si>
  <si>
    <t>20402</t>
  </si>
  <si>
    <t>20403</t>
  </si>
  <si>
    <t>20404</t>
  </si>
  <si>
    <t>20405</t>
  </si>
  <si>
    <t>20406</t>
  </si>
  <si>
    <t>20407</t>
  </si>
  <si>
    <t>20500</t>
  </si>
  <si>
    <t>20501</t>
  </si>
  <si>
    <t>20502</t>
  </si>
  <si>
    <t>20503</t>
  </si>
  <si>
    <t>20504</t>
  </si>
  <si>
    <t>20505</t>
  </si>
  <si>
    <t>20506</t>
  </si>
  <si>
    <t>20600</t>
  </si>
  <si>
    <t>20601</t>
  </si>
  <si>
    <t>20602</t>
  </si>
  <si>
    <t>20603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</si>
  <si>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</si>
  <si>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</si>
  <si>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</si>
  <si>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</si>
  <si>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</si>
  <si>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</si>
  <si>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</si>
  <si>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</si>
  <si>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</si>
  <si>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</si>
  <si>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</si>
  <si>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</si>
  <si>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</si>
  <si>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</si>
  <si>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</si>
  <si>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</si>
  <si>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</si>
  <si>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</si>
  <si>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302010</t>
  </si>
  <si>
    <t>302011</t>
  </si>
  <si>
    <t>302012</t>
  </si>
  <si>
    <t>302013</t>
  </si>
  <si>
    <t>302014</t>
  </si>
  <si>
    <t>302015</t>
  </si>
  <si>
    <t>302016</t>
  </si>
  <si>
    <t>302017</t>
  </si>
  <si>
    <t>302018</t>
  </si>
  <si>
    <t>id_dato</t>
  </si>
  <si>
    <t>valor</t>
  </si>
  <si>
    <t>id_loc</t>
  </si>
  <si>
    <t>wkt_geom</t>
  </si>
  <si>
    <t>cod_ase</t>
  </si>
  <si>
    <t>fna</t>
  </si>
  <si>
    <t>lat_gd</t>
  </si>
  <si>
    <t>long_gd</t>
  </si>
  <si>
    <t>MultiPoint ((-67.69632814000000565 -53.78632609000000286))</t>
  </si>
  <si>
    <t>Río Grande</t>
  </si>
  <si>
    <t>MultiPoint ((-67.1951719799999978 -54.51143945999999829))</t>
  </si>
  <si>
    <t>MultiPoint ((-68.30375718000000518 -54.80740397999999658))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</si>
</sst>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.0%"/>
    <numFmt numFmtId="165" formatCode="0.0%"/>
    <numFmt numFmtId="17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2" fillId="0" borderId="0" xfId="4" applyFont="1" applyFill="1" applyBorder="1" applyAlignment="1">
      <alignment horizontal="left" vertical="top" wrapText="1"/>
    </xf>
    <xf numFmtId="0" fontId="2" fillId="0" borderId="2" xfId="2" applyFont="1" applyFill="1" applyBorder="1" applyAlignment="1">
      <alignment horizontal="left" vertical="top" wrapText="1"/>
    </xf>
    <xf numFmtId="0" fontId="2" fillId="0" borderId="5" xfId="4" applyFont="1" applyFill="1" applyBorder="1" applyAlignment="1">
      <alignment horizontal="left" vertical="top" wrapText="1"/>
    </xf>
    <xf numFmtId="0" fontId="2" fillId="0" borderId="2" xfId="4" applyFont="1" applyFill="1" applyBorder="1" applyAlignment="1">
      <alignment horizontal="left" vertical="top" wrapText="1"/>
    </xf>
    <xf numFmtId="0" fontId="2" fillId="0" borderId="5" xfId="2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0" xfId="0" applyFont="1" applyFill="1" applyBorder="1"/>
    <xf numFmtId="0" fontId="5" fillId="0" borderId="0" xfId="1" applyFont="1" applyFill="1" applyBorder="1" applyAlignment="1">
      <alignment horizontal="center" wrapText="1"/>
    </xf>
    <xf numFmtId="164" fontId="2" fillId="0" borderId="2" xfId="3" applyNumberFormat="1" applyFont="1" applyFill="1" applyBorder="1" applyAlignment="1">
      <alignment horizontal="center" vertical="center"/>
    </xf>
    <xf numFmtId="164" fontId="2" fillId="0" borderId="3" xfId="3" applyNumberFormat="1" applyFont="1" applyFill="1" applyBorder="1" applyAlignment="1">
      <alignment horizontal="center" vertical="center"/>
    </xf>
    <xf numFmtId="164" fontId="2" fillId="0" borderId="5" xfId="5" applyNumberFormat="1" applyFont="1" applyFill="1" applyBorder="1" applyAlignment="1">
      <alignment horizontal="center" vertical="center"/>
    </xf>
    <xf numFmtId="164" fontId="2" fillId="0" borderId="6" xfId="5" applyNumberFormat="1" applyFont="1" applyFill="1" applyBorder="1" applyAlignment="1">
      <alignment horizontal="center" vertical="center"/>
    </xf>
    <xf numFmtId="164" fontId="2" fillId="0" borderId="2" xfId="5" applyNumberFormat="1" applyFont="1" applyFill="1" applyBorder="1" applyAlignment="1">
      <alignment horizontal="center" vertical="center"/>
    </xf>
    <xf numFmtId="164" fontId="2" fillId="0" borderId="3" xfId="5" applyNumberFormat="1" applyFont="1" applyFill="1" applyBorder="1" applyAlignment="1">
      <alignment horizontal="center" vertical="center"/>
    </xf>
    <xf numFmtId="164" fontId="2" fillId="0" borderId="5" xfId="3" applyNumberFormat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164" fontId="2" fillId="0" borderId="0" xfId="5" applyNumberFormat="1" applyFont="1" applyFill="1" applyBorder="1" applyAlignment="1">
      <alignment horizontal="center" vertical="center"/>
    </xf>
    <xf numFmtId="164" fontId="2" fillId="0" borderId="8" xfId="5" applyNumberFormat="1" applyFont="1" applyFill="1" applyBorder="1" applyAlignment="1">
      <alignment horizontal="center" vertical="center"/>
    </xf>
    <xf numFmtId="164" fontId="3" fillId="0" borderId="0" xfId="5" applyNumberFormat="1" applyFont="1" applyFill="1" applyBorder="1" applyAlignment="1">
      <alignment horizontal="center" vertical="center"/>
    </xf>
    <xf numFmtId="164" fontId="3" fillId="0" borderId="8" xfId="5" applyNumberFormat="1" applyFont="1" applyFill="1" applyBorder="1" applyAlignment="1">
      <alignment horizontal="center" vertical="center"/>
    </xf>
    <xf numFmtId="164" fontId="3" fillId="0" borderId="6" xfId="5" applyNumberFormat="1" applyFont="1" applyFill="1" applyBorder="1" applyAlignment="1">
      <alignment horizontal="center" vertical="center"/>
    </xf>
    <xf numFmtId="164" fontId="3" fillId="0" borderId="2" xfId="4" applyNumberFormat="1" applyFont="1" applyFill="1" applyBorder="1" applyAlignment="1">
      <alignment horizontal="center" vertical="center" wrapText="1"/>
    </xf>
    <xf numFmtId="164" fontId="3" fillId="0" borderId="3" xfId="4" applyNumberFormat="1" applyFont="1" applyFill="1" applyBorder="1" applyAlignment="1">
      <alignment horizontal="center" vertical="center" wrapText="1"/>
    </xf>
    <xf numFmtId="165" fontId="3" fillId="0" borderId="0" xfId="4" applyNumberFormat="1" applyFont="1" applyFill="1" applyBorder="1" applyAlignment="1">
      <alignment horizontal="center" vertical="center" wrapText="1"/>
    </xf>
    <xf numFmtId="165" fontId="3" fillId="0" borderId="8" xfId="4" applyNumberFormat="1" applyFont="1" applyFill="1" applyBorder="1" applyAlignment="1">
      <alignment horizontal="center" vertical="center" wrapText="1"/>
    </xf>
    <xf numFmtId="165" fontId="3" fillId="0" borderId="5" xfId="4" applyNumberFormat="1" applyFont="1" applyFill="1" applyBorder="1" applyAlignment="1">
      <alignment horizontal="center" vertical="center" wrapText="1"/>
    </xf>
    <xf numFmtId="165" fontId="3" fillId="0" borderId="6" xfId="4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0" borderId="2" xfId="2" applyFont="1" applyFill="1" applyBorder="1" applyAlignment="1">
      <alignment horizontal="left" vertical="center" wrapText="1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2" fillId="0" borderId="0" xfId="4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2" fontId="2" fillId="0" borderId="0" xfId="7" applyNumberFormat="1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2" borderId="2" xfId="2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2" xfId="4" applyFont="1" applyFill="1" applyBorder="1" applyAlignment="1">
      <alignment horizontal="left" vertical="center" wrapText="1"/>
    </xf>
    <xf numFmtId="0" fontId="0" fillId="3" borderId="0" xfId="0" applyFill="1" applyBorder="1" applyAlignment="1">
      <alignment horizontal="center" vertical="center"/>
    </xf>
    <xf numFmtId="0" fontId="2" fillId="3" borderId="0" xfId="4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2" fillId="3" borderId="2" xfId="2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2" fontId="0" fillId="3" borderId="2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2" fillId="2" borderId="5" xfId="4" applyFont="1" applyFill="1" applyBorder="1" applyAlignment="1">
      <alignment horizontal="left" vertical="center" wrapText="1"/>
    </xf>
    <xf numFmtId="0" fontId="2" fillId="2" borderId="0" xfId="4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/>
    </xf>
    <xf numFmtId="2" fontId="2" fillId="2" borderId="5" xfId="7" applyNumberFormat="1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2" fillId="3" borderId="5" xfId="4" applyFont="1" applyFill="1" applyBorder="1" applyAlignment="1">
      <alignment horizontal="left" vertical="center" wrapText="1"/>
    </xf>
    <xf numFmtId="0" fontId="2" fillId="3" borderId="5" xfId="2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/>
    </xf>
    <xf numFmtId="0" fontId="2" fillId="4" borderId="5" xfId="2" applyFont="1" applyFill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174" fontId="0" fillId="0" borderId="9" xfId="0" applyNumberFormat="1" applyBorder="1" applyAlignment="1">
      <alignment vertical="center" wrapText="1"/>
    </xf>
  </cellXfs>
  <cellStyles count="8">
    <cellStyle name="Normal" xfId="0" builtinId="0"/>
    <cellStyle name="style1774545259846" xfId="4"/>
    <cellStyle name="style1774545260471" xfId="1"/>
    <cellStyle name="style1774545260533" xfId="2"/>
    <cellStyle name="style1774545260674" xfId="3"/>
    <cellStyle name="style1774545260768" xfId="5"/>
    <cellStyle name="style1774545260862" xfId="6"/>
    <cellStyle name="style177454526111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opLeftCell="C53" zoomScale="85" zoomScaleNormal="85" workbookViewId="0">
      <selection activeCell="H2" sqref="H2:H73"/>
    </sheetView>
  </sheetViews>
  <sheetFormatPr baseColWidth="10" defaultRowHeight="15" x14ac:dyDescent="0.25"/>
  <cols>
    <col min="3" max="3" width="53.85546875" customWidth="1"/>
    <col min="4" max="4" width="7.140625" bestFit="1" customWidth="1"/>
    <col min="5" max="5" width="39.85546875" style="6" customWidth="1"/>
    <col min="6" max="6" width="11.42578125" bestFit="1" customWidth="1"/>
  </cols>
  <sheetData>
    <row r="1" spans="1:9" ht="15.75" thickBot="1" x14ac:dyDescent="0.3">
      <c r="A1" t="s">
        <v>151</v>
      </c>
      <c r="B1" t="s">
        <v>75</v>
      </c>
      <c r="C1" s="28" t="s">
        <v>76</v>
      </c>
      <c r="D1" s="28" t="s">
        <v>77</v>
      </c>
      <c r="E1" s="29" t="s">
        <v>78</v>
      </c>
      <c r="F1" s="7" t="s">
        <v>79</v>
      </c>
      <c r="G1" s="8" t="s">
        <v>0</v>
      </c>
      <c r="H1" s="8" t="s">
        <v>1</v>
      </c>
      <c r="I1" s="8" t="s">
        <v>2</v>
      </c>
    </row>
    <row r="2" spans="1:9" ht="24" x14ac:dyDescent="0.25">
      <c r="A2" s="6">
        <v>10101</v>
      </c>
      <c r="B2">
        <v>101</v>
      </c>
      <c r="C2" s="30" t="s">
        <v>10</v>
      </c>
      <c r="D2" s="41">
        <v>1</v>
      </c>
      <c r="E2" s="40" t="s">
        <v>11</v>
      </c>
      <c r="F2" s="2" t="s">
        <v>26</v>
      </c>
      <c r="G2" s="9">
        <v>2.0826041302065102E-2</v>
      </c>
      <c r="H2" s="9">
        <v>0.18450631160297423</v>
      </c>
      <c r="I2" s="10">
        <v>0.45700245700245701</v>
      </c>
    </row>
    <row r="3" spans="1:9" ht="24.75" thickBot="1" x14ac:dyDescent="0.3">
      <c r="A3" t="s">
        <v>80</v>
      </c>
      <c r="B3">
        <v>101</v>
      </c>
      <c r="C3" s="32" t="s">
        <v>10</v>
      </c>
      <c r="D3" s="54">
        <v>0</v>
      </c>
      <c r="E3" s="55" t="s">
        <v>12</v>
      </c>
      <c r="F3" s="3" t="s">
        <v>26</v>
      </c>
      <c r="G3" s="11">
        <v>0.979173958697935</v>
      </c>
      <c r="H3" s="11">
        <v>0.81549368839702585</v>
      </c>
      <c r="I3" s="12">
        <v>0.54299754299754299</v>
      </c>
    </row>
    <row r="4" spans="1:9" x14ac:dyDescent="0.25">
      <c r="A4" t="s">
        <v>81</v>
      </c>
      <c r="B4">
        <v>102</v>
      </c>
      <c r="C4" s="30" t="s">
        <v>7</v>
      </c>
      <c r="D4" s="41">
        <v>1</v>
      </c>
      <c r="E4" s="40" t="s">
        <v>8</v>
      </c>
      <c r="F4" s="2" t="s">
        <v>26</v>
      </c>
      <c r="G4" s="9">
        <v>0.13385826771653545</v>
      </c>
      <c r="H4" s="9">
        <v>0.30641535535189346</v>
      </c>
      <c r="I4" s="10">
        <v>0.2285012285012285</v>
      </c>
    </row>
    <row r="5" spans="1:9" ht="15.75" thickBot="1" x14ac:dyDescent="0.3">
      <c r="A5" t="s">
        <v>82</v>
      </c>
      <c r="B5">
        <v>102</v>
      </c>
      <c r="C5" s="32" t="s">
        <v>7</v>
      </c>
      <c r="D5" s="54">
        <v>0</v>
      </c>
      <c r="E5" s="55" t="s">
        <v>9</v>
      </c>
      <c r="F5" s="3" t="s">
        <v>26</v>
      </c>
      <c r="G5" s="11">
        <v>0.86614173228346458</v>
      </c>
      <c r="H5" s="11">
        <v>0.69358464464810654</v>
      </c>
      <c r="I5" s="12">
        <v>0.77149877149877155</v>
      </c>
    </row>
    <row r="6" spans="1:9" x14ac:dyDescent="0.25">
      <c r="A6" t="s">
        <v>83</v>
      </c>
      <c r="B6">
        <v>103</v>
      </c>
      <c r="C6" s="30" t="s">
        <v>4</v>
      </c>
      <c r="D6" s="41">
        <v>1</v>
      </c>
      <c r="E6" s="42" t="s">
        <v>6</v>
      </c>
      <c r="F6" s="4" t="s">
        <v>26</v>
      </c>
      <c r="G6" s="13">
        <v>0.5322834645669291</v>
      </c>
      <c r="H6" s="13">
        <v>0.58464464810651906</v>
      </c>
      <c r="I6" s="14">
        <v>0.63067484662576689</v>
      </c>
    </row>
    <row r="7" spans="1:9" ht="15.75" thickBot="1" x14ac:dyDescent="0.3">
      <c r="A7" t="s">
        <v>84</v>
      </c>
      <c r="B7">
        <v>103</v>
      </c>
      <c r="C7" s="32" t="s">
        <v>4</v>
      </c>
      <c r="D7" s="54">
        <v>0</v>
      </c>
      <c r="E7" s="56" t="s">
        <v>5</v>
      </c>
      <c r="F7" s="5" t="s">
        <v>26</v>
      </c>
      <c r="G7" s="15">
        <v>0.46771653543307079</v>
      </c>
      <c r="H7" s="15">
        <v>0.41535535189348088</v>
      </c>
      <c r="I7" s="16">
        <v>0.36932515337423311</v>
      </c>
    </row>
    <row r="8" spans="1:9" x14ac:dyDescent="0.25">
      <c r="A8" t="s">
        <v>85</v>
      </c>
      <c r="B8">
        <v>104</v>
      </c>
      <c r="C8" s="30" t="s">
        <v>23</v>
      </c>
      <c r="D8" s="41">
        <v>1</v>
      </c>
      <c r="E8" s="42" t="s">
        <v>25</v>
      </c>
      <c r="F8" s="4" t="s">
        <v>26</v>
      </c>
      <c r="G8" s="13">
        <v>3.2895888013998252E-2</v>
      </c>
      <c r="H8" s="13">
        <v>5.3441715669318574E-2</v>
      </c>
      <c r="I8" s="14">
        <v>3.6809815950920248E-2</v>
      </c>
    </row>
    <row r="9" spans="1:9" ht="15.75" thickBot="1" x14ac:dyDescent="0.3">
      <c r="A9" t="s">
        <v>86</v>
      </c>
      <c r="B9">
        <v>104</v>
      </c>
      <c r="C9" s="32" t="s">
        <v>23</v>
      </c>
      <c r="D9" s="54">
        <v>0</v>
      </c>
      <c r="E9" s="56" t="s">
        <v>24</v>
      </c>
      <c r="F9" s="5" t="s">
        <v>26</v>
      </c>
      <c r="G9" s="15">
        <v>0.96710411198600188</v>
      </c>
      <c r="H9" s="15">
        <v>0.94655828433068157</v>
      </c>
      <c r="I9" s="16">
        <v>0.96319018404907975</v>
      </c>
    </row>
    <row r="10" spans="1:9" x14ac:dyDescent="0.25">
      <c r="A10" t="s">
        <v>87</v>
      </c>
      <c r="B10">
        <v>105</v>
      </c>
      <c r="C10" s="30" t="s">
        <v>3</v>
      </c>
      <c r="D10" s="41">
        <v>1</v>
      </c>
      <c r="E10" s="42" t="s">
        <v>73</v>
      </c>
      <c r="F10" s="4" t="s">
        <v>26</v>
      </c>
      <c r="G10" s="13">
        <v>0.44881889763779526</v>
      </c>
      <c r="H10" s="13">
        <v>0.43964026288481489</v>
      </c>
      <c r="I10" s="14">
        <v>0.69287469287469283</v>
      </c>
    </row>
    <row r="11" spans="1:9" ht="15.75" thickBot="1" x14ac:dyDescent="0.3">
      <c r="A11" t="s">
        <v>88</v>
      </c>
      <c r="B11">
        <v>105</v>
      </c>
      <c r="C11" s="32" t="s">
        <v>3</v>
      </c>
      <c r="D11" s="54">
        <v>0</v>
      </c>
      <c r="E11" s="56" t="s">
        <v>74</v>
      </c>
      <c r="F11" s="5" t="s">
        <v>26</v>
      </c>
      <c r="G11" s="15">
        <v>0.55118110236220474</v>
      </c>
      <c r="H11" s="15">
        <v>0.56035973711518505</v>
      </c>
      <c r="I11" s="16">
        <v>0.30712530712530711</v>
      </c>
    </row>
    <row r="12" spans="1:9" x14ac:dyDescent="0.25">
      <c r="A12" t="s">
        <v>89</v>
      </c>
      <c r="B12">
        <v>106</v>
      </c>
      <c r="C12" s="30" t="s">
        <v>28</v>
      </c>
      <c r="D12" s="41">
        <v>1</v>
      </c>
      <c r="E12" s="42" t="s">
        <v>30</v>
      </c>
      <c r="F12" s="4" t="s">
        <v>26</v>
      </c>
      <c r="G12" s="13">
        <v>0.60200136456675002</v>
      </c>
      <c r="H12" s="13">
        <v>0.61658474032913013</v>
      </c>
      <c r="I12" s="14">
        <v>0.60468521229868233</v>
      </c>
    </row>
    <row r="13" spans="1:9" ht="15.75" thickBot="1" x14ac:dyDescent="0.3">
      <c r="A13" t="s">
        <v>90</v>
      </c>
      <c r="B13">
        <v>106</v>
      </c>
      <c r="C13" s="32" t="s">
        <v>28</v>
      </c>
      <c r="D13" s="54">
        <v>0</v>
      </c>
      <c r="E13" s="56" t="s">
        <v>29</v>
      </c>
      <c r="F13" s="5" t="s">
        <v>26</v>
      </c>
      <c r="G13" s="15">
        <v>0.39799863543324998</v>
      </c>
      <c r="H13" s="15">
        <v>0.38341525967086987</v>
      </c>
      <c r="I13" s="16">
        <v>0.39531478770131767</v>
      </c>
    </row>
    <row r="14" spans="1:9" x14ac:dyDescent="0.25">
      <c r="A14" t="s">
        <v>91</v>
      </c>
      <c r="B14">
        <v>201</v>
      </c>
      <c r="C14" s="30" t="s">
        <v>18</v>
      </c>
      <c r="D14" s="41">
        <v>4</v>
      </c>
      <c r="E14" s="42" t="s">
        <v>22</v>
      </c>
      <c r="F14" s="4" t="s">
        <v>27</v>
      </c>
      <c r="G14" s="13">
        <v>0</v>
      </c>
      <c r="H14" s="13">
        <v>5.8965934636002075E-2</v>
      </c>
      <c r="I14" s="14">
        <v>0</v>
      </c>
    </row>
    <row r="15" spans="1:9" x14ac:dyDescent="0.25">
      <c r="A15" t="s">
        <v>92</v>
      </c>
      <c r="B15">
        <v>201</v>
      </c>
      <c r="C15" s="34" t="s">
        <v>18</v>
      </c>
      <c r="D15" s="39">
        <v>3</v>
      </c>
      <c r="E15" s="35" t="s">
        <v>21</v>
      </c>
      <c r="F15" s="1" t="s">
        <v>27</v>
      </c>
      <c r="G15" s="17">
        <v>7.5940507436570423E-2</v>
      </c>
      <c r="H15" s="17">
        <v>0.13366764655023344</v>
      </c>
      <c r="I15" s="18">
        <v>4.7911547911547912E-2</v>
      </c>
    </row>
    <row r="16" spans="1:9" x14ac:dyDescent="0.25">
      <c r="A16" t="s">
        <v>93</v>
      </c>
      <c r="B16">
        <v>201</v>
      </c>
      <c r="C16" s="34" t="s">
        <v>18</v>
      </c>
      <c r="D16" s="39">
        <v>2</v>
      </c>
      <c r="E16" s="35" t="s">
        <v>20</v>
      </c>
      <c r="F16" s="1" t="s">
        <v>27</v>
      </c>
      <c r="G16" s="17">
        <v>5.2143482064741911E-2</v>
      </c>
      <c r="H16" s="17">
        <v>5.9311775894864256E-2</v>
      </c>
      <c r="I16" s="18">
        <v>0.11179361179361179</v>
      </c>
    </row>
    <row r="17" spans="1:9" x14ac:dyDescent="0.25">
      <c r="A17" t="s">
        <v>94</v>
      </c>
      <c r="B17">
        <v>201</v>
      </c>
      <c r="C17" s="34" t="s">
        <v>18</v>
      </c>
      <c r="D17" s="43">
        <v>1</v>
      </c>
      <c r="E17" s="44" t="s">
        <v>19</v>
      </c>
      <c r="F17" s="1" t="s">
        <v>27</v>
      </c>
      <c r="G17" s="17">
        <v>0.81819772528433943</v>
      </c>
      <c r="H17" s="17">
        <v>0.74131073837108763</v>
      </c>
      <c r="I17" s="18">
        <v>0.81818181818181823</v>
      </c>
    </row>
    <row r="18" spans="1:9" ht="15.75" thickBot="1" x14ac:dyDescent="0.3">
      <c r="A18" t="s">
        <v>95</v>
      </c>
      <c r="B18">
        <v>201</v>
      </c>
      <c r="C18" s="32" t="s">
        <v>18</v>
      </c>
      <c r="D18" s="57">
        <v>9</v>
      </c>
      <c r="E18" s="58" t="s">
        <v>14</v>
      </c>
      <c r="F18" s="5" t="s">
        <v>27</v>
      </c>
      <c r="G18" s="15">
        <v>5.3718285214348203E-2</v>
      </c>
      <c r="H18" s="15">
        <v>6.7439045478125534E-3</v>
      </c>
      <c r="I18" s="16">
        <v>2.2113022113022112E-2</v>
      </c>
    </row>
    <row r="19" spans="1:9" x14ac:dyDescent="0.25">
      <c r="A19" t="s">
        <v>96</v>
      </c>
      <c r="B19">
        <v>202</v>
      </c>
      <c r="C19" s="30" t="s">
        <v>13</v>
      </c>
      <c r="D19" s="41">
        <v>3</v>
      </c>
      <c r="E19" s="42" t="s">
        <v>17</v>
      </c>
      <c r="F19" s="4" t="s">
        <v>27</v>
      </c>
      <c r="G19" s="13">
        <v>2.4501225061253063E-2</v>
      </c>
      <c r="H19" s="13">
        <v>0.31258644536652835</v>
      </c>
      <c r="I19" s="14">
        <v>0.20761670761670761</v>
      </c>
    </row>
    <row r="20" spans="1:9" x14ac:dyDescent="0.25">
      <c r="A20" t="s">
        <v>97</v>
      </c>
      <c r="B20">
        <v>202</v>
      </c>
      <c r="C20" s="34" t="s">
        <v>13</v>
      </c>
      <c r="D20" s="39">
        <v>2</v>
      </c>
      <c r="E20" s="35" t="s">
        <v>16</v>
      </c>
      <c r="F20" s="1" t="s">
        <v>27</v>
      </c>
      <c r="G20" s="17">
        <v>2.8876443822191109E-2</v>
      </c>
      <c r="H20" s="17">
        <v>0.16701244813278004</v>
      </c>
      <c r="I20" s="18">
        <v>9.213759213759215E-2</v>
      </c>
    </row>
    <row r="21" spans="1:9" x14ac:dyDescent="0.25">
      <c r="A21" t="s">
        <v>98</v>
      </c>
      <c r="B21">
        <v>202</v>
      </c>
      <c r="C21" s="34" t="s">
        <v>13</v>
      </c>
      <c r="D21" s="43">
        <v>1</v>
      </c>
      <c r="E21" s="44" t="s">
        <v>15</v>
      </c>
      <c r="F21" s="1" t="s">
        <v>27</v>
      </c>
      <c r="G21" s="17">
        <v>0.88834441722086099</v>
      </c>
      <c r="H21" s="17">
        <v>0.46075380359612722</v>
      </c>
      <c r="I21" s="18">
        <v>0.63267813267813267</v>
      </c>
    </row>
    <row r="22" spans="1:9" ht="15.75" thickBot="1" x14ac:dyDescent="0.3">
      <c r="A22" t="s">
        <v>99</v>
      </c>
      <c r="B22">
        <v>202</v>
      </c>
      <c r="C22" s="32" t="s">
        <v>13</v>
      </c>
      <c r="D22" s="57">
        <v>9</v>
      </c>
      <c r="E22" s="58" t="s">
        <v>14</v>
      </c>
      <c r="F22" s="5" t="s">
        <v>27</v>
      </c>
      <c r="G22" s="15">
        <v>5.8277913895694783E-2</v>
      </c>
      <c r="H22" s="15">
        <v>5.9647302904564319E-2</v>
      </c>
      <c r="I22" s="16">
        <v>6.7567567567567571E-2</v>
      </c>
    </row>
    <row r="23" spans="1:9" x14ac:dyDescent="0.25">
      <c r="A23" t="s">
        <v>100</v>
      </c>
      <c r="B23">
        <v>203</v>
      </c>
      <c r="C23" s="30" t="s">
        <v>31</v>
      </c>
      <c r="D23" s="45">
        <v>0</v>
      </c>
      <c r="E23" s="46" t="s">
        <v>72</v>
      </c>
      <c r="F23" s="2" t="s">
        <v>27</v>
      </c>
      <c r="G23" s="9">
        <v>0.39799863543324998</v>
      </c>
      <c r="H23" s="9">
        <v>0.38341525967086987</v>
      </c>
      <c r="I23" s="10">
        <v>0.39531478770131767</v>
      </c>
    </row>
    <row r="24" spans="1:9" x14ac:dyDescent="0.25">
      <c r="A24" t="s">
        <v>101</v>
      </c>
      <c r="B24">
        <v>203</v>
      </c>
      <c r="C24" s="34" t="s">
        <v>31</v>
      </c>
      <c r="D24" s="39">
        <v>3</v>
      </c>
      <c r="E24" s="35" t="s">
        <v>32</v>
      </c>
      <c r="F24" s="1" t="s">
        <v>27</v>
      </c>
      <c r="G24" s="17">
        <v>0.11325904025471913</v>
      </c>
      <c r="H24" s="17">
        <v>6.7535798247488774E-2</v>
      </c>
      <c r="I24" s="18">
        <v>9.224011713030747E-2</v>
      </c>
    </row>
    <row r="25" spans="1:9" x14ac:dyDescent="0.25">
      <c r="A25" t="s">
        <v>102</v>
      </c>
      <c r="B25">
        <v>203</v>
      </c>
      <c r="C25" s="34" t="s">
        <v>31</v>
      </c>
      <c r="D25" s="39">
        <v>1</v>
      </c>
      <c r="E25" s="35" t="s">
        <v>33</v>
      </c>
      <c r="F25" s="1" t="s">
        <v>27</v>
      </c>
      <c r="G25" s="17">
        <v>4.3211280418467141E-3</v>
      </c>
      <c r="H25" s="17">
        <v>0</v>
      </c>
      <c r="I25" s="17">
        <v>0</v>
      </c>
    </row>
    <row r="26" spans="1:9" x14ac:dyDescent="0.25">
      <c r="A26" t="s">
        <v>103</v>
      </c>
      <c r="B26">
        <v>203</v>
      </c>
      <c r="C26" s="34" t="s">
        <v>31</v>
      </c>
      <c r="D26" s="39">
        <v>2</v>
      </c>
      <c r="E26" s="35" t="s">
        <v>34</v>
      </c>
      <c r="F26" s="1" t="s">
        <v>27</v>
      </c>
      <c r="G26" s="17">
        <v>5.2308392085512849E-2</v>
      </c>
      <c r="H26" s="17">
        <v>6.1979055353708047E-2</v>
      </c>
      <c r="I26" s="18">
        <v>0.1273792093704246</v>
      </c>
    </row>
    <row r="27" spans="1:9" x14ac:dyDescent="0.25">
      <c r="A27" t="s">
        <v>104</v>
      </c>
      <c r="B27">
        <v>203</v>
      </c>
      <c r="C27" s="34" t="s">
        <v>31</v>
      </c>
      <c r="D27" s="39">
        <v>4</v>
      </c>
      <c r="E27" s="35" t="s">
        <v>35</v>
      </c>
      <c r="F27" s="1" t="s">
        <v>27</v>
      </c>
      <c r="G27" s="17">
        <v>0.26290652717762109</v>
      </c>
      <c r="H27" s="17">
        <v>0.20303483650352638</v>
      </c>
      <c r="I27" s="18">
        <v>0.31185944363103951</v>
      </c>
    </row>
    <row r="28" spans="1:9" ht="15.75" thickBot="1" x14ac:dyDescent="0.3">
      <c r="A28" t="s">
        <v>105</v>
      </c>
      <c r="B28">
        <v>203</v>
      </c>
      <c r="C28" s="32" t="s">
        <v>31</v>
      </c>
      <c r="D28" s="49">
        <v>5</v>
      </c>
      <c r="E28" s="50" t="s">
        <v>36</v>
      </c>
      <c r="F28" s="3" t="s">
        <v>27</v>
      </c>
      <c r="G28" s="11">
        <v>0.16920627700705027</v>
      </c>
      <c r="H28" s="11">
        <v>0.28403505022440695</v>
      </c>
      <c r="I28" s="12">
        <v>7.320644216691069E-2</v>
      </c>
    </row>
    <row r="29" spans="1:9" x14ac:dyDescent="0.25">
      <c r="A29" t="s">
        <v>106</v>
      </c>
      <c r="B29">
        <v>204</v>
      </c>
      <c r="C29" s="30" t="s">
        <v>38</v>
      </c>
      <c r="D29" s="38">
        <v>1</v>
      </c>
      <c r="E29" s="31" t="s">
        <v>59</v>
      </c>
      <c r="F29" s="4" t="s">
        <v>27</v>
      </c>
      <c r="G29" s="9">
        <v>0.29179065289690181</v>
      </c>
      <c r="H29" s="9">
        <v>0.35599377270368449</v>
      </c>
      <c r="I29" s="10">
        <v>0.21894218942189422</v>
      </c>
    </row>
    <row r="30" spans="1:9" x14ac:dyDescent="0.25">
      <c r="A30" t="s">
        <v>107</v>
      </c>
      <c r="B30">
        <v>204</v>
      </c>
      <c r="C30" s="34" t="s">
        <v>38</v>
      </c>
      <c r="D30" s="39">
        <v>2</v>
      </c>
      <c r="E30" s="35" t="s">
        <v>60</v>
      </c>
      <c r="F30" s="1" t="s">
        <v>27</v>
      </c>
      <c r="G30" s="17">
        <v>0.28899002275511992</v>
      </c>
      <c r="H30" s="17">
        <v>0.26863864383324687</v>
      </c>
      <c r="I30" s="18">
        <v>0.30012300123001229</v>
      </c>
    </row>
    <row r="31" spans="1:9" x14ac:dyDescent="0.25">
      <c r="A31" t="s">
        <v>108</v>
      </c>
      <c r="B31">
        <v>204</v>
      </c>
      <c r="C31" s="34" t="s">
        <v>38</v>
      </c>
      <c r="D31" s="39">
        <v>3</v>
      </c>
      <c r="E31" s="35" t="s">
        <v>61</v>
      </c>
      <c r="F31" s="1" t="s">
        <v>27</v>
      </c>
      <c r="G31" s="17">
        <v>0.2336775774549274</v>
      </c>
      <c r="H31" s="17">
        <v>0.18578100674623768</v>
      </c>
      <c r="I31" s="18">
        <v>0.1857318573185732</v>
      </c>
    </row>
    <row r="32" spans="1:9" x14ac:dyDescent="0.25">
      <c r="A32" t="s">
        <v>109</v>
      </c>
      <c r="B32">
        <v>204</v>
      </c>
      <c r="C32" s="34" t="s">
        <v>38</v>
      </c>
      <c r="D32" s="39">
        <v>4</v>
      </c>
      <c r="E32" s="35" t="s">
        <v>62</v>
      </c>
      <c r="F32" s="1" t="s">
        <v>27</v>
      </c>
      <c r="G32" s="17">
        <v>6.9315596009102046E-2</v>
      </c>
      <c r="H32" s="17">
        <v>5.8813354090987716E-2</v>
      </c>
      <c r="I32" s="18">
        <v>7.995079950799508E-2</v>
      </c>
    </row>
    <row r="33" spans="1:9" x14ac:dyDescent="0.25">
      <c r="A33" t="s">
        <v>110</v>
      </c>
      <c r="B33">
        <v>204</v>
      </c>
      <c r="C33" s="34" t="s">
        <v>38</v>
      </c>
      <c r="D33" s="39">
        <v>5</v>
      </c>
      <c r="E33" s="35" t="s">
        <v>63</v>
      </c>
      <c r="F33" s="1" t="s">
        <v>27</v>
      </c>
      <c r="G33" s="17">
        <v>2.0654647295641523E-2</v>
      </c>
      <c r="H33" s="17">
        <v>1.798996713371389E-2</v>
      </c>
      <c r="I33" s="18">
        <v>7.7490774907749083E-2</v>
      </c>
    </row>
    <row r="34" spans="1:9" x14ac:dyDescent="0.25">
      <c r="A34" t="s">
        <v>111</v>
      </c>
      <c r="B34">
        <v>204</v>
      </c>
      <c r="C34" s="34" t="s">
        <v>38</v>
      </c>
      <c r="D34" s="39">
        <v>6</v>
      </c>
      <c r="E34" s="35" t="s">
        <v>64</v>
      </c>
      <c r="F34" s="1" t="s">
        <v>27</v>
      </c>
      <c r="G34" s="17">
        <v>5.77629966742517E-2</v>
      </c>
      <c r="H34" s="17">
        <v>6.2272963155163466E-2</v>
      </c>
      <c r="I34" s="18">
        <v>6.7650676506765067E-2</v>
      </c>
    </row>
    <row r="35" spans="1:9" ht="15.75" thickBot="1" x14ac:dyDescent="0.3">
      <c r="A35" t="s">
        <v>112</v>
      </c>
      <c r="B35">
        <v>204</v>
      </c>
      <c r="C35" s="32" t="s">
        <v>38</v>
      </c>
      <c r="D35" s="49">
        <v>7</v>
      </c>
      <c r="E35" s="51" t="s">
        <v>65</v>
      </c>
      <c r="F35" s="3" t="s">
        <v>27</v>
      </c>
      <c r="G35" s="11">
        <v>3.7808506914055663E-2</v>
      </c>
      <c r="H35" s="11">
        <v>5.0510292336965926E-2</v>
      </c>
      <c r="I35" s="12">
        <v>7.0110701107011064E-2</v>
      </c>
    </row>
    <row r="36" spans="1:9" x14ac:dyDescent="0.25">
      <c r="A36" t="s">
        <v>113</v>
      </c>
      <c r="B36">
        <v>205</v>
      </c>
      <c r="C36" s="30" t="s">
        <v>37</v>
      </c>
      <c r="D36" s="45">
        <v>0</v>
      </c>
      <c r="E36" s="47">
        <v>0</v>
      </c>
      <c r="F36" s="4" t="s">
        <v>27</v>
      </c>
      <c r="G36" s="9">
        <v>0.35482587064676624</v>
      </c>
      <c r="H36" s="9">
        <v>0.26911041573535988</v>
      </c>
      <c r="I36" s="10">
        <v>0.19865319865319864</v>
      </c>
    </row>
    <row r="37" spans="1:9" x14ac:dyDescent="0.25">
      <c r="A37" t="s">
        <v>114</v>
      </c>
      <c r="B37">
        <v>205</v>
      </c>
      <c r="C37" s="34" t="s">
        <v>37</v>
      </c>
      <c r="D37" s="39">
        <v>1</v>
      </c>
      <c r="E37" s="36">
        <v>1</v>
      </c>
      <c r="F37" s="1" t="s">
        <v>27</v>
      </c>
      <c r="G37" s="17">
        <v>0.34786069651741292</v>
      </c>
      <c r="H37" s="17">
        <v>0.31895395619132766</v>
      </c>
      <c r="I37" s="18">
        <v>0.44612794612794615</v>
      </c>
    </row>
    <row r="38" spans="1:9" x14ac:dyDescent="0.25">
      <c r="A38" t="s">
        <v>115</v>
      </c>
      <c r="B38">
        <v>205</v>
      </c>
      <c r="C38" s="34" t="s">
        <v>37</v>
      </c>
      <c r="D38" s="39">
        <v>2</v>
      </c>
      <c r="E38" s="36">
        <v>2</v>
      </c>
      <c r="F38" s="1" t="s">
        <v>27</v>
      </c>
      <c r="G38" s="17">
        <v>0.21213930348258705</v>
      </c>
      <c r="H38" s="17">
        <v>0.24452391595887349</v>
      </c>
      <c r="I38" s="18">
        <v>0.21885521885521886</v>
      </c>
    </row>
    <row r="39" spans="1:9" x14ac:dyDescent="0.25">
      <c r="A39" t="s">
        <v>116</v>
      </c>
      <c r="B39">
        <v>205</v>
      </c>
      <c r="C39" s="34" t="s">
        <v>37</v>
      </c>
      <c r="D39" s="39">
        <v>3</v>
      </c>
      <c r="E39" s="36">
        <v>3</v>
      </c>
      <c r="F39" s="1" t="s">
        <v>27</v>
      </c>
      <c r="G39" s="19">
        <v>8.1393034825870653E-2</v>
      </c>
      <c r="H39" s="19">
        <v>0.12874385337505587</v>
      </c>
      <c r="I39" s="20">
        <v>9.2592592592592601E-2</v>
      </c>
    </row>
    <row r="40" spans="1:9" x14ac:dyDescent="0.25">
      <c r="A40" t="s">
        <v>117</v>
      </c>
      <c r="B40">
        <v>205</v>
      </c>
      <c r="C40" s="34" t="s">
        <v>37</v>
      </c>
      <c r="D40" s="39">
        <v>4</v>
      </c>
      <c r="E40" s="36">
        <v>4</v>
      </c>
      <c r="F40" s="1" t="s">
        <v>27</v>
      </c>
      <c r="G40" s="19">
        <v>2.5870646766169153E-3</v>
      </c>
      <c r="H40" s="19">
        <v>2.9950827000447027E-2</v>
      </c>
      <c r="I40" s="20">
        <v>3.1986531986531987E-2</v>
      </c>
    </row>
    <row r="41" spans="1:9" x14ac:dyDescent="0.25">
      <c r="A41" t="s">
        <v>118</v>
      </c>
      <c r="B41">
        <v>205</v>
      </c>
      <c r="C41" s="34" t="s">
        <v>37</v>
      </c>
      <c r="D41" s="39">
        <v>5</v>
      </c>
      <c r="E41" s="36">
        <v>5</v>
      </c>
      <c r="F41" s="1" t="s">
        <v>27</v>
      </c>
      <c r="G41" s="19">
        <v>1.1940298507462687E-3</v>
      </c>
      <c r="H41" s="19">
        <v>8.7170317389360756E-3</v>
      </c>
      <c r="I41" s="20">
        <v>5.0505050505050509E-3</v>
      </c>
    </row>
    <row r="42" spans="1:9" ht="15.75" thickBot="1" x14ac:dyDescent="0.3">
      <c r="A42" t="s">
        <v>119</v>
      </c>
      <c r="B42">
        <v>205</v>
      </c>
      <c r="C42" s="33" t="s">
        <v>37</v>
      </c>
      <c r="D42" s="49">
        <v>6</v>
      </c>
      <c r="E42" s="52">
        <v>6</v>
      </c>
      <c r="F42" s="3" t="s">
        <v>27</v>
      </c>
      <c r="G42" s="11">
        <v>0</v>
      </c>
      <c r="H42" s="11">
        <v>0</v>
      </c>
      <c r="I42" s="21">
        <v>6.7340067340067337E-3</v>
      </c>
    </row>
    <row r="43" spans="1:9" x14ac:dyDescent="0.25">
      <c r="A43" t="s">
        <v>120</v>
      </c>
      <c r="B43">
        <v>206</v>
      </c>
      <c r="C43" s="30" t="s">
        <v>66</v>
      </c>
      <c r="D43" s="45">
        <v>0</v>
      </c>
      <c r="E43" s="47" t="s">
        <v>67</v>
      </c>
      <c r="F43" s="4" t="s">
        <v>27</v>
      </c>
      <c r="G43" s="22">
        <f>G36</f>
        <v>0.35482587064676624</v>
      </c>
      <c r="H43" s="22">
        <f t="shared" ref="H43:I43" si="0">H36</f>
        <v>0.26911041573535988</v>
      </c>
      <c r="I43" s="23">
        <f t="shared" si="0"/>
        <v>0.19865319865319864</v>
      </c>
    </row>
    <row r="44" spans="1:9" x14ac:dyDescent="0.25">
      <c r="A44" t="s">
        <v>121</v>
      </c>
      <c r="B44">
        <v>206</v>
      </c>
      <c r="C44" s="34" t="s">
        <v>66</v>
      </c>
      <c r="D44" s="39">
        <v>1</v>
      </c>
      <c r="E44" s="36" t="s">
        <v>68</v>
      </c>
      <c r="F44" s="1" t="s">
        <v>27</v>
      </c>
      <c r="G44" s="24">
        <f>G37+G38</f>
        <v>0.55999999999999994</v>
      </c>
      <c r="H44" s="24">
        <f t="shared" ref="H44:I44" si="1">H37+H38</f>
        <v>0.56347787215020118</v>
      </c>
      <c r="I44" s="25">
        <f t="shared" si="1"/>
        <v>0.66498316498316501</v>
      </c>
    </row>
    <row r="45" spans="1:9" x14ac:dyDescent="0.25">
      <c r="A45" t="s">
        <v>122</v>
      </c>
      <c r="B45">
        <v>206</v>
      </c>
      <c r="C45" s="34" t="s">
        <v>66</v>
      </c>
      <c r="D45" s="39">
        <v>2</v>
      </c>
      <c r="E45" s="36" t="s">
        <v>69</v>
      </c>
      <c r="F45" s="1" t="s">
        <v>27</v>
      </c>
      <c r="G45" s="24">
        <f>G39+G40</f>
        <v>8.3980099502487568E-2</v>
      </c>
      <c r="H45" s="24">
        <f>H39+H40</f>
        <v>0.15869468037550288</v>
      </c>
      <c r="I45" s="25">
        <f>I39+I40</f>
        <v>0.12457912457912459</v>
      </c>
    </row>
    <row r="46" spans="1:9" ht="15.75" thickBot="1" x14ac:dyDescent="0.3">
      <c r="A46" t="s">
        <v>123</v>
      </c>
      <c r="B46">
        <v>206</v>
      </c>
      <c r="C46" s="32" t="s">
        <v>66</v>
      </c>
      <c r="D46" s="49">
        <v>3</v>
      </c>
      <c r="E46" s="52" t="s">
        <v>70</v>
      </c>
      <c r="F46" s="3" t="s">
        <v>27</v>
      </c>
      <c r="G46" s="26">
        <f>G41+G42</f>
        <v>1.1940298507462687E-3</v>
      </c>
      <c r="H46" s="26">
        <f t="shared" ref="H46:I46" si="2">H41+H42</f>
        <v>8.7170317389360756E-3</v>
      </c>
      <c r="I46" s="27">
        <f t="shared" si="2"/>
        <v>1.1784511784511785E-2</v>
      </c>
    </row>
    <row r="47" spans="1:9" x14ac:dyDescent="0.25">
      <c r="A47" t="s">
        <v>124</v>
      </c>
      <c r="B47">
        <v>301</v>
      </c>
      <c r="C47" s="30" t="s">
        <v>58</v>
      </c>
      <c r="D47" s="45">
        <v>0</v>
      </c>
      <c r="E47" s="48">
        <v>0</v>
      </c>
      <c r="F47" s="4" t="s">
        <v>57</v>
      </c>
      <c r="G47" s="17">
        <v>0.90759137769447051</v>
      </c>
      <c r="H47" s="17">
        <v>0.94843462246777166</v>
      </c>
      <c r="I47" s="20">
        <v>0.9157894736842106</v>
      </c>
    </row>
    <row r="48" spans="1:9" x14ac:dyDescent="0.25">
      <c r="A48" t="s">
        <v>125</v>
      </c>
      <c r="B48">
        <v>301</v>
      </c>
      <c r="C48" s="34" t="s">
        <v>58</v>
      </c>
      <c r="D48" s="39">
        <v>1</v>
      </c>
      <c r="E48" s="37" t="s">
        <v>39</v>
      </c>
      <c r="F48" s="1" t="s">
        <v>57</v>
      </c>
      <c r="G48" s="17">
        <v>1.1246485473289597E-3</v>
      </c>
      <c r="H48" s="17">
        <v>0</v>
      </c>
      <c r="I48" s="20">
        <v>0</v>
      </c>
    </row>
    <row r="49" spans="1:9" x14ac:dyDescent="0.25">
      <c r="A49" t="s">
        <v>126</v>
      </c>
      <c r="B49">
        <v>301</v>
      </c>
      <c r="C49" s="34" t="s">
        <v>58</v>
      </c>
      <c r="D49" s="39">
        <v>2</v>
      </c>
      <c r="E49" s="37" t="s">
        <v>42</v>
      </c>
      <c r="F49" s="1" t="s">
        <v>57</v>
      </c>
      <c r="G49" s="17">
        <v>0</v>
      </c>
      <c r="H49" s="17">
        <v>0</v>
      </c>
      <c r="I49" s="20">
        <v>1.1842105263157897E-2</v>
      </c>
    </row>
    <row r="50" spans="1:9" x14ac:dyDescent="0.25">
      <c r="A50" t="s">
        <v>127</v>
      </c>
      <c r="B50">
        <v>301</v>
      </c>
      <c r="C50" s="34" t="s">
        <v>58</v>
      </c>
      <c r="D50" s="39">
        <v>3</v>
      </c>
      <c r="E50" s="37" t="s">
        <v>43</v>
      </c>
      <c r="F50" s="1" t="s">
        <v>57</v>
      </c>
      <c r="G50" s="17">
        <v>1.4245548266166823E-2</v>
      </c>
      <c r="H50" s="17">
        <v>0</v>
      </c>
      <c r="I50" s="20">
        <v>0</v>
      </c>
    </row>
    <row r="51" spans="1:9" x14ac:dyDescent="0.25">
      <c r="A51" t="s">
        <v>128</v>
      </c>
      <c r="B51">
        <v>301</v>
      </c>
      <c r="C51" s="34" t="s">
        <v>58</v>
      </c>
      <c r="D51" s="39">
        <v>4</v>
      </c>
      <c r="E51" s="37" t="s">
        <v>46</v>
      </c>
      <c r="F51" s="1" t="s">
        <v>57</v>
      </c>
      <c r="G51" s="17">
        <v>2.3242736644798499E-2</v>
      </c>
      <c r="H51" s="17">
        <v>1.0128913443830571E-2</v>
      </c>
      <c r="I51" s="20">
        <v>1.1842105263157897E-2</v>
      </c>
    </row>
    <row r="52" spans="1:9" x14ac:dyDescent="0.25">
      <c r="A52" t="s">
        <v>129</v>
      </c>
      <c r="B52">
        <v>301</v>
      </c>
      <c r="C52" s="34" t="s">
        <v>58</v>
      </c>
      <c r="D52" s="39">
        <v>5</v>
      </c>
      <c r="E52" s="37" t="s">
        <v>48</v>
      </c>
      <c r="F52" s="1" t="s">
        <v>57</v>
      </c>
      <c r="G52" s="17">
        <v>3.5613870665417058E-3</v>
      </c>
      <c r="H52" s="17">
        <v>0</v>
      </c>
      <c r="I52" s="20">
        <v>0</v>
      </c>
    </row>
    <row r="53" spans="1:9" x14ac:dyDescent="0.25">
      <c r="A53" t="s">
        <v>130</v>
      </c>
      <c r="B53">
        <v>301</v>
      </c>
      <c r="C53" s="34" t="s">
        <v>58</v>
      </c>
      <c r="D53" s="39">
        <v>6</v>
      </c>
      <c r="E53" s="37" t="s">
        <v>51</v>
      </c>
      <c r="F53" s="1" t="s">
        <v>57</v>
      </c>
      <c r="G53" s="17">
        <v>3.9550140581068413E-2</v>
      </c>
      <c r="H53" s="17">
        <v>2.7808471454880291E-2</v>
      </c>
      <c r="I53" s="20">
        <v>6.0526315789473678E-2</v>
      </c>
    </row>
    <row r="54" spans="1:9" ht="15.75" thickBot="1" x14ac:dyDescent="0.3">
      <c r="A54" t="s">
        <v>131</v>
      </c>
      <c r="B54">
        <v>301</v>
      </c>
      <c r="C54" s="32" t="s">
        <v>58</v>
      </c>
      <c r="D54" s="49">
        <v>7</v>
      </c>
      <c r="E54" s="53" t="s">
        <v>53</v>
      </c>
      <c r="F54" s="3" t="s">
        <v>57</v>
      </c>
      <c r="G54" s="11">
        <v>1.0684161199625118E-2</v>
      </c>
      <c r="H54" s="11">
        <v>1.3627992633517496E-2</v>
      </c>
      <c r="I54" s="27">
        <v>0</v>
      </c>
    </row>
    <row r="55" spans="1:9" x14ac:dyDescent="0.25">
      <c r="A55" t="s">
        <v>132</v>
      </c>
      <c r="B55">
        <v>302</v>
      </c>
      <c r="C55" s="30" t="s">
        <v>71</v>
      </c>
      <c r="D55" s="45">
        <v>0</v>
      </c>
      <c r="E55" s="48">
        <v>0</v>
      </c>
      <c r="F55" s="4" t="s">
        <v>57</v>
      </c>
      <c r="G55" s="9">
        <v>0.48143982002249719</v>
      </c>
      <c r="H55" s="9">
        <v>0.57174433597347574</v>
      </c>
      <c r="I55" s="10">
        <v>0.51973684210526316</v>
      </c>
    </row>
    <row r="56" spans="1:9" x14ac:dyDescent="0.25">
      <c r="A56" t="s">
        <v>133</v>
      </c>
      <c r="B56">
        <v>302</v>
      </c>
      <c r="C56" s="34" t="s">
        <v>71</v>
      </c>
      <c r="D56" s="39">
        <v>1</v>
      </c>
      <c r="E56" s="37" t="s">
        <v>39</v>
      </c>
      <c r="F56" s="1" t="s">
        <v>57</v>
      </c>
      <c r="G56" s="17">
        <v>3.7495313085864268E-3</v>
      </c>
      <c r="H56" s="17">
        <v>0</v>
      </c>
      <c r="I56" s="20">
        <v>0</v>
      </c>
    </row>
    <row r="57" spans="1:9" x14ac:dyDescent="0.25">
      <c r="A57" t="s">
        <v>134</v>
      </c>
      <c r="B57">
        <v>302</v>
      </c>
      <c r="C57" s="34" t="s">
        <v>71</v>
      </c>
      <c r="D57" s="39">
        <v>2</v>
      </c>
      <c r="E57" s="37" t="s">
        <v>40</v>
      </c>
      <c r="F57" s="1" t="s">
        <v>57</v>
      </c>
      <c r="G57" s="17">
        <v>4.8743907011623549E-3</v>
      </c>
      <c r="H57" s="17">
        <v>0</v>
      </c>
      <c r="I57" s="20">
        <v>0</v>
      </c>
    </row>
    <row r="58" spans="1:9" x14ac:dyDescent="0.25">
      <c r="A58" t="s">
        <v>135</v>
      </c>
      <c r="B58">
        <v>302</v>
      </c>
      <c r="C58" s="34" t="s">
        <v>71</v>
      </c>
      <c r="D58" s="39">
        <v>3</v>
      </c>
      <c r="E58" s="37" t="s">
        <v>41</v>
      </c>
      <c r="F58" s="1" t="s">
        <v>57</v>
      </c>
      <c r="G58" s="17">
        <v>7.3115860517435323E-3</v>
      </c>
      <c r="H58" s="17">
        <v>0</v>
      </c>
      <c r="I58" s="20">
        <v>0</v>
      </c>
    </row>
    <row r="59" spans="1:9" x14ac:dyDescent="0.25">
      <c r="A59" t="s">
        <v>136</v>
      </c>
      <c r="B59">
        <v>302</v>
      </c>
      <c r="C59" s="34" t="s">
        <v>71</v>
      </c>
      <c r="D59" s="39">
        <v>4</v>
      </c>
      <c r="E59" s="37" t="s">
        <v>42</v>
      </c>
      <c r="F59" s="1" t="s">
        <v>57</v>
      </c>
      <c r="G59" s="17">
        <v>4.3119610048743907E-2</v>
      </c>
      <c r="H59" s="17">
        <v>1.363050285503776E-2</v>
      </c>
      <c r="I59" s="20">
        <v>2.5000000000000001E-2</v>
      </c>
    </row>
    <row r="60" spans="1:9" x14ac:dyDescent="0.25">
      <c r="A60" t="s">
        <v>137</v>
      </c>
      <c r="B60">
        <v>302</v>
      </c>
      <c r="C60" s="34" t="s">
        <v>71</v>
      </c>
      <c r="D60" s="39">
        <v>5</v>
      </c>
      <c r="E60" s="37" t="s">
        <v>43</v>
      </c>
      <c r="F60" s="1" t="s">
        <v>57</v>
      </c>
      <c r="G60" s="17">
        <v>8.1927259092613405E-2</v>
      </c>
      <c r="H60" s="17">
        <v>8.0309449254006265E-2</v>
      </c>
      <c r="I60" s="20">
        <v>6.3157894736842107E-2</v>
      </c>
    </row>
    <row r="61" spans="1:9" x14ac:dyDescent="0.25">
      <c r="A61" t="s">
        <v>138</v>
      </c>
      <c r="B61">
        <v>302</v>
      </c>
      <c r="C61" s="34" t="s">
        <v>71</v>
      </c>
      <c r="D61" s="39">
        <v>6</v>
      </c>
      <c r="E61" s="37" t="s">
        <v>44</v>
      </c>
      <c r="F61" s="1" t="s">
        <v>57</v>
      </c>
      <c r="G61" s="17">
        <v>4.6869141357330337E-3</v>
      </c>
      <c r="H61" s="17">
        <v>0</v>
      </c>
      <c r="I61" s="20">
        <v>1.1842105263157897E-2</v>
      </c>
    </row>
    <row r="62" spans="1:9" x14ac:dyDescent="0.25">
      <c r="A62" t="s">
        <v>139</v>
      </c>
      <c r="B62">
        <v>302</v>
      </c>
      <c r="C62" s="34" t="s">
        <v>71</v>
      </c>
      <c r="D62" s="39">
        <v>7</v>
      </c>
      <c r="E62" s="37" t="s">
        <v>45</v>
      </c>
      <c r="F62" s="1" t="s">
        <v>57</v>
      </c>
      <c r="G62" s="17">
        <v>1.1248593925759281E-3</v>
      </c>
      <c r="H62" s="17">
        <v>0</v>
      </c>
      <c r="I62" s="20">
        <v>0</v>
      </c>
    </row>
    <row r="63" spans="1:9" x14ac:dyDescent="0.25">
      <c r="A63" t="s">
        <v>140</v>
      </c>
      <c r="B63">
        <v>302</v>
      </c>
      <c r="C63" s="34" t="s">
        <v>71</v>
      </c>
      <c r="D63" s="39">
        <v>8</v>
      </c>
      <c r="E63" s="37" t="s">
        <v>46</v>
      </c>
      <c r="F63" s="1" t="s">
        <v>57</v>
      </c>
      <c r="G63" s="17">
        <v>0.13142107236595427</v>
      </c>
      <c r="H63" s="17">
        <v>0.17719653711549088</v>
      </c>
      <c r="I63" s="20">
        <v>4.7368421052631587E-2</v>
      </c>
    </row>
    <row r="64" spans="1:9" x14ac:dyDescent="0.25">
      <c r="A64" t="s">
        <v>141</v>
      </c>
      <c r="B64">
        <v>302</v>
      </c>
      <c r="C64" s="34" t="s">
        <v>71</v>
      </c>
      <c r="D64" s="39">
        <v>9</v>
      </c>
      <c r="E64" s="37" t="s">
        <v>47</v>
      </c>
      <c r="F64" s="1" t="s">
        <v>57</v>
      </c>
      <c r="G64" s="17">
        <v>3.7495313085864268E-3</v>
      </c>
      <c r="H64" s="17">
        <v>0</v>
      </c>
      <c r="I64" s="20">
        <v>0</v>
      </c>
    </row>
    <row r="65" spans="1:9" x14ac:dyDescent="0.25">
      <c r="A65" t="s">
        <v>142</v>
      </c>
      <c r="B65">
        <v>302</v>
      </c>
      <c r="C65" s="34" t="s">
        <v>71</v>
      </c>
      <c r="D65" s="39">
        <v>10</v>
      </c>
      <c r="E65" s="37" t="s">
        <v>48</v>
      </c>
      <c r="F65" s="1" t="s">
        <v>57</v>
      </c>
      <c r="G65" s="17">
        <v>3.0183727034120734E-2</v>
      </c>
      <c r="H65" s="17">
        <v>1.3998894824092835E-2</v>
      </c>
      <c r="I65" s="20">
        <v>2.5000000000000001E-2</v>
      </c>
    </row>
    <row r="66" spans="1:9" x14ac:dyDescent="0.25">
      <c r="A66" t="s">
        <v>143</v>
      </c>
      <c r="B66">
        <v>302</v>
      </c>
      <c r="C66" s="34" t="s">
        <v>71</v>
      </c>
      <c r="D66" s="39">
        <v>11</v>
      </c>
      <c r="E66" s="37" t="s">
        <v>49</v>
      </c>
      <c r="F66" s="1" t="s">
        <v>57</v>
      </c>
      <c r="G66" s="17">
        <v>1.1248593925759281E-3</v>
      </c>
      <c r="H66" s="17">
        <v>0</v>
      </c>
      <c r="I66" s="20">
        <v>0</v>
      </c>
    </row>
    <row r="67" spans="1:9" x14ac:dyDescent="0.25">
      <c r="A67" t="s">
        <v>144</v>
      </c>
      <c r="B67">
        <v>302</v>
      </c>
      <c r="C67" s="34" t="s">
        <v>71</v>
      </c>
      <c r="D67" s="39">
        <v>12</v>
      </c>
      <c r="E67" s="37" t="s">
        <v>50</v>
      </c>
      <c r="F67" s="1" t="s">
        <v>57</v>
      </c>
      <c r="G67" s="17">
        <v>1.1248593925759281E-3</v>
      </c>
      <c r="H67" s="17">
        <v>0</v>
      </c>
      <c r="I67" s="20">
        <v>0</v>
      </c>
    </row>
    <row r="68" spans="1:9" x14ac:dyDescent="0.25">
      <c r="A68" t="s">
        <v>145</v>
      </c>
      <c r="B68">
        <v>302</v>
      </c>
      <c r="C68" s="34" t="s">
        <v>71</v>
      </c>
      <c r="D68" s="39">
        <v>13</v>
      </c>
      <c r="E68" s="37" t="s">
        <v>51</v>
      </c>
      <c r="F68" s="1" t="s">
        <v>57</v>
      </c>
      <c r="G68" s="17">
        <v>0.12260967379077617</v>
      </c>
      <c r="H68" s="17">
        <v>0.10462331921164118</v>
      </c>
      <c r="I68" s="20">
        <v>0.24078947368421053</v>
      </c>
    </row>
    <row r="69" spans="1:9" x14ac:dyDescent="0.25">
      <c r="A69" t="s">
        <v>146</v>
      </c>
      <c r="B69">
        <v>302</v>
      </c>
      <c r="C69" s="34" t="s">
        <v>71</v>
      </c>
      <c r="D69" s="39">
        <v>14</v>
      </c>
      <c r="E69" s="37" t="s">
        <v>52</v>
      </c>
      <c r="F69" s="1" t="s">
        <v>57</v>
      </c>
      <c r="G69" s="17">
        <v>1.2935883014623173E-2</v>
      </c>
      <c r="H69" s="17">
        <v>1.0314975133542091E-2</v>
      </c>
      <c r="I69" s="20">
        <v>1.1842105263157897E-2</v>
      </c>
    </row>
    <row r="70" spans="1:9" x14ac:dyDescent="0.25">
      <c r="A70" t="s">
        <v>147</v>
      </c>
      <c r="B70">
        <v>302</v>
      </c>
      <c r="C70" s="34" t="s">
        <v>71</v>
      </c>
      <c r="D70" s="39">
        <v>15</v>
      </c>
      <c r="E70" s="37" t="s">
        <v>53</v>
      </c>
      <c r="F70" s="1" t="s">
        <v>57</v>
      </c>
      <c r="G70" s="17">
        <v>5.3993250843644543E-2</v>
      </c>
      <c r="H70" s="17">
        <v>2.0998342236139257E-2</v>
      </c>
      <c r="I70" s="20">
        <v>4.3421052631578944E-2</v>
      </c>
    </row>
    <row r="71" spans="1:9" x14ac:dyDescent="0.25">
      <c r="A71" t="s">
        <v>148</v>
      </c>
      <c r="B71">
        <v>302</v>
      </c>
      <c r="C71" s="34" t="s">
        <v>71</v>
      </c>
      <c r="D71" s="39">
        <v>16</v>
      </c>
      <c r="E71" s="37" t="s">
        <v>54</v>
      </c>
      <c r="F71" s="1" t="s">
        <v>57</v>
      </c>
      <c r="G71" s="17">
        <v>7.4990626171728535E-3</v>
      </c>
      <c r="H71" s="17">
        <v>7.1836433965739551E-3</v>
      </c>
      <c r="I71" s="20">
        <v>1.1842105263157897E-2</v>
      </c>
    </row>
    <row r="72" spans="1:9" x14ac:dyDescent="0.25">
      <c r="A72" t="s">
        <v>149</v>
      </c>
      <c r="B72">
        <v>302</v>
      </c>
      <c r="C72" s="34" t="s">
        <v>71</v>
      </c>
      <c r="D72" s="39">
        <v>17</v>
      </c>
      <c r="E72" s="37" t="s">
        <v>55</v>
      </c>
      <c r="F72" s="1" t="s">
        <v>57</v>
      </c>
      <c r="G72" s="17">
        <v>5.999250093738283E-3</v>
      </c>
      <c r="H72" s="17">
        <v>0</v>
      </c>
      <c r="I72" s="20">
        <v>0</v>
      </c>
    </row>
    <row r="73" spans="1:9" ht="15.75" thickBot="1" x14ac:dyDescent="0.3">
      <c r="A73" t="s">
        <v>150</v>
      </c>
      <c r="B73">
        <v>302</v>
      </c>
      <c r="C73" s="32" t="s">
        <v>71</v>
      </c>
      <c r="D73" s="49">
        <v>18</v>
      </c>
      <c r="E73" s="53" t="s">
        <v>56</v>
      </c>
      <c r="F73" s="3" t="s">
        <v>57</v>
      </c>
      <c r="G73" s="11">
        <v>1.1248593925759281E-3</v>
      </c>
      <c r="H73" s="11">
        <v>0</v>
      </c>
      <c r="I73" s="27">
        <v>0</v>
      </c>
    </row>
  </sheetData>
  <sortState ref="C2:I69">
    <sortCondition ref="F2:F69"/>
    <sortCondition ref="C2:C69"/>
    <sortCondition ref="D2:D6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baseColWidth="10" defaultRowHeight="15" x14ac:dyDescent="0.25"/>
  <cols>
    <col min="1" max="1" width="13.42578125" bestFit="1" customWidth="1"/>
    <col min="3" max="3" width="59.28515625" bestFit="1" customWidth="1"/>
    <col min="4" max="4" width="13.42578125" bestFit="1" customWidth="1"/>
    <col min="5" max="5" width="62.42578125" customWidth="1"/>
  </cols>
  <sheetData>
    <row r="1" spans="1:6" ht="15.75" thickBot="1" x14ac:dyDescent="0.3">
      <c r="A1" t="s">
        <v>77</v>
      </c>
      <c r="B1" t="s">
        <v>75</v>
      </c>
      <c r="C1" s="28" t="s">
        <v>76</v>
      </c>
      <c r="D1" s="28" t="s">
        <v>77</v>
      </c>
      <c r="E1" s="29" t="s">
        <v>78</v>
      </c>
      <c r="F1" s="7" t="s">
        <v>79</v>
      </c>
    </row>
    <row r="2" spans="1:6" x14ac:dyDescent="0.25">
      <c r="A2" s="6">
        <v>10101</v>
      </c>
      <c r="B2">
        <v>101</v>
      </c>
      <c r="C2" s="30" t="s">
        <v>10</v>
      </c>
      <c r="D2" s="41">
        <v>1</v>
      </c>
      <c r="E2" s="40" t="s">
        <v>11</v>
      </c>
      <c r="F2" s="2" t="s">
        <v>26</v>
      </c>
    </row>
    <row r="3" spans="1:6" ht="15.75" thickBot="1" x14ac:dyDescent="0.3">
      <c r="A3" t="s">
        <v>80</v>
      </c>
      <c r="B3">
        <v>101</v>
      </c>
      <c r="C3" s="32" t="s">
        <v>10</v>
      </c>
      <c r="D3" s="54">
        <v>0</v>
      </c>
      <c r="E3" s="55" t="s">
        <v>12</v>
      </c>
      <c r="F3" s="3" t="s">
        <v>26</v>
      </c>
    </row>
    <row r="4" spans="1:6" x14ac:dyDescent="0.25">
      <c r="A4" t="s">
        <v>81</v>
      </c>
      <c r="B4">
        <v>102</v>
      </c>
      <c r="C4" s="30" t="s">
        <v>7</v>
      </c>
      <c r="D4" s="41">
        <v>1</v>
      </c>
      <c r="E4" s="40" t="s">
        <v>8</v>
      </c>
      <c r="F4" s="2" t="s">
        <v>26</v>
      </c>
    </row>
    <row r="5" spans="1:6" ht="15.75" thickBot="1" x14ac:dyDescent="0.3">
      <c r="A5" t="s">
        <v>82</v>
      </c>
      <c r="B5">
        <v>102</v>
      </c>
      <c r="C5" s="32" t="s">
        <v>7</v>
      </c>
      <c r="D5" s="54">
        <v>0</v>
      </c>
      <c r="E5" s="55" t="s">
        <v>9</v>
      </c>
      <c r="F5" s="3" t="s">
        <v>26</v>
      </c>
    </row>
    <row r="6" spans="1:6" x14ac:dyDescent="0.25">
      <c r="A6" t="s">
        <v>83</v>
      </c>
      <c r="B6">
        <v>103</v>
      </c>
      <c r="C6" s="30" t="s">
        <v>4</v>
      </c>
      <c r="D6" s="41">
        <v>1</v>
      </c>
      <c r="E6" s="42" t="s">
        <v>6</v>
      </c>
      <c r="F6" s="4" t="s">
        <v>26</v>
      </c>
    </row>
    <row r="7" spans="1:6" ht="15.75" thickBot="1" x14ac:dyDescent="0.3">
      <c r="A7" t="s">
        <v>84</v>
      </c>
      <c r="B7">
        <v>103</v>
      </c>
      <c r="C7" s="32" t="s">
        <v>4</v>
      </c>
      <c r="D7" s="54">
        <v>0</v>
      </c>
      <c r="E7" s="56" t="s">
        <v>5</v>
      </c>
      <c r="F7" s="5" t="s">
        <v>26</v>
      </c>
    </row>
    <row r="8" spans="1:6" x14ac:dyDescent="0.25">
      <c r="A8" t="s">
        <v>85</v>
      </c>
      <c r="B8">
        <v>104</v>
      </c>
      <c r="C8" s="30" t="s">
        <v>23</v>
      </c>
      <c r="D8" s="41">
        <v>1</v>
      </c>
      <c r="E8" s="42" t="s">
        <v>25</v>
      </c>
      <c r="F8" s="4" t="s">
        <v>26</v>
      </c>
    </row>
    <row r="9" spans="1:6" ht="15.75" thickBot="1" x14ac:dyDescent="0.3">
      <c r="A9" t="s">
        <v>86</v>
      </c>
      <c r="B9">
        <v>104</v>
      </c>
      <c r="C9" s="32" t="s">
        <v>23</v>
      </c>
      <c r="D9" s="54">
        <v>0</v>
      </c>
      <c r="E9" s="56" t="s">
        <v>24</v>
      </c>
      <c r="F9" s="5" t="s">
        <v>26</v>
      </c>
    </row>
    <row r="10" spans="1:6" x14ac:dyDescent="0.25">
      <c r="A10" t="s">
        <v>87</v>
      </c>
      <c r="B10">
        <v>105</v>
      </c>
      <c r="C10" s="30" t="s">
        <v>3</v>
      </c>
      <c r="D10" s="41">
        <v>1</v>
      </c>
      <c r="E10" s="42" t="s">
        <v>73</v>
      </c>
      <c r="F10" s="4" t="s">
        <v>26</v>
      </c>
    </row>
    <row r="11" spans="1:6" ht="15.75" thickBot="1" x14ac:dyDescent="0.3">
      <c r="A11" t="s">
        <v>88</v>
      </c>
      <c r="B11">
        <v>105</v>
      </c>
      <c r="C11" s="32" t="s">
        <v>3</v>
      </c>
      <c r="D11" s="54">
        <v>0</v>
      </c>
      <c r="E11" s="56" t="s">
        <v>74</v>
      </c>
      <c r="F11" s="5" t="s">
        <v>26</v>
      </c>
    </row>
    <row r="12" spans="1:6" x14ac:dyDescent="0.25">
      <c r="A12" t="s">
        <v>89</v>
      </c>
      <c r="B12">
        <v>106</v>
      </c>
      <c r="C12" s="30" t="s">
        <v>28</v>
      </c>
      <c r="D12" s="41">
        <v>1</v>
      </c>
      <c r="E12" s="42" t="s">
        <v>30</v>
      </c>
      <c r="F12" s="4" t="s">
        <v>26</v>
      </c>
    </row>
    <row r="13" spans="1:6" ht="15.75" thickBot="1" x14ac:dyDescent="0.3">
      <c r="A13" t="s">
        <v>90</v>
      </c>
      <c r="B13">
        <v>106</v>
      </c>
      <c r="C13" s="32" t="s">
        <v>28</v>
      </c>
      <c r="D13" s="54">
        <v>0</v>
      </c>
      <c r="E13" s="56" t="s">
        <v>29</v>
      </c>
      <c r="F13" s="5" t="s">
        <v>26</v>
      </c>
    </row>
    <row r="14" spans="1:6" x14ac:dyDescent="0.25">
      <c r="A14" t="s">
        <v>91</v>
      </c>
      <c r="B14">
        <v>201</v>
      </c>
      <c r="C14" s="30" t="s">
        <v>18</v>
      </c>
      <c r="D14" s="41">
        <v>4</v>
      </c>
      <c r="E14" s="42" t="s">
        <v>22</v>
      </c>
      <c r="F14" s="4" t="s">
        <v>27</v>
      </c>
    </row>
    <row r="15" spans="1:6" x14ac:dyDescent="0.25">
      <c r="A15" t="s">
        <v>92</v>
      </c>
      <c r="B15">
        <v>201</v>
      </c>
      <c r="C15" s="34" t="s">
        <v>18</v>
      </c>
      <c r="D15" s="39">
        <v>3</v>
      </c>
      <c r="E15" s="35" t="s">
        <v>21</v>
      </c>
      <c r="F15" s="1" t="s">
        <v>27</v>
      </c>
    </row>
    <row r="16" spans="1:6" x14ac:dyDescent="0.25">
      <c r="A16" t="s">
        <v>93</v>
      </c>
      <c r="B16">
        <v>201</v>
      </c>
      <c r="C16" s="34" t="s">
        <v>18</v>
      </c>
      <c r="D16" s="39">
        <v>2</v>
      </c>
      <c r="E16" s="35" t="s">
        <v>20</v>
      </c>
      <c r="F16" s="1" t="s">
        <v>27</v>
      </c>
    </row>
    <row r="17" spans="1:6" x14ac:dyDescent="0.25">
      <c r="A17" t="s">
        <v>94</v>
      </c>
      <c r="B17">
        <v>201</v>
      </c>
      <c r="C17" s="34" t="s">
        <v>18</v>
      </c>
      <c r="D17" s="43">
        <v>1</v>
      </c>
      <c r="E17" s="44" t="s">
        <v>19</v>
      </c>
      <c r="F17" s="1" t="s">
        <v>27</v>
      </c>
    </row>
    <row r="18" spans="1:6" ht="15.75" thickBot="1" x14ac:dyDescent="0.3">
      <c r="A18" t="s">
        <v>95</v>
      </c>
      <c r="B18">
        <v>201</v>
      </c>
      <c r="C18" s="32" t="s">
        <v>18</v>
      </c>
      <c r="D18" s="57">
        <v>9</v>
      </c>
      <c r="E18" s="58" t="s">
        <v>14</v>
      </c>
      <c r="F18" s="5" t="s">
        <v>27</v>
      </c>
    </row>
    <row r="19" spans="1:6" x14ac:dyDescent="0.25">
      <c r="A19" t="s">
        <v>96</v>
      </c>
      <c r="B19">
        <v>202</v>
      </c>
      <c r="C19" s="30" t="s">
        <v>13</v>
      </c>
      <c r="D19" s="41">
        <v>3</v>
      </c>
      <c r="E19" s="42" t="s">
        <v>17</v>
      </c>
      <c r="F19" s="4" t="s">
        <v>27</v>
      </c>
    </row>
    <row r="20" spans="1:6" x14ac:dyDescent="0.25">
      <c r="A20" t="s">
        <v>97</v>
      </c>
      <c r="B20">
        <v>202</v>
      </c>
      <c r="C20" s="34" t="s">
        <v>13</v>
      </c>
      <c r="D20" s="39">
        <v>2</v>
      </c>
      <c r="E20" s="35" t="s">
        <v>16</v>
      </c>
      <c r="F20" s="1" t="s">
        <v>27</v>
      </c>
    </row>
    <row r="21" spans="1:6" x14ac:dyDescent="0.25">
      <c r="A21" t="s">
        <v>98</v>
      </c>
      <c r="B21">
        <v>202</v>
      </c>
      <c r="C21" s="34" t="s">
        <v>13</v>
      </c>
      <c r="D21" s="43">
        <v>1</v>
      </c>
      <c r="E21" s="44" t="s">
        <v>15</v>
      </c>
      <c r="F21" s="1" t="s">
        <v>27</v>
      </c>
    </row>
    <row r="22" spans="1:6" ht="15.75" thickBot="1" x14ac:dyDescent="0.3">
      <c r="A22" t="s">
        <v>99</v>
      </c>
      <c r="B22">
        <v>202</v>
      </c>
      <c r="C22" s="32" t="s">
        <v>13</v>
      </c>
      <c r="D22" s="57">
        <v>9</v>
      </c>
      <c r="E22" s="58" t="s">
        <v>14</v>
      </c>
      <c r="F22" s="5" t="s">
        <v>27</v>
      </c>
    </row>
    <row r="23" spans="1:6" x14ac:dyDescent="0.25">
      <c r="A23" t="s">
        <v>100</v>
      </c>
      <c r="B23">
        <v>203</v>
      </c>
      <c r="C23" s="30" t="s">
        <v>31</v>
      </c>
      <c r="D23" s="45">
        <v>0</v>
      </c>
      <c r="E23" s="46" t="s">
        <v>72</v>
      </c>
      <c r="F23" s="2" t="s">
        <v>27</v>
      </c>
    </row>
    <row r="24" spans="1:6" x14ac:dyDescent="0.25">
      <c r="A24" t="s">
        <v>101</v>
      </c>
      <c r="B24">
        <v>203</v>
      </c>
      <c r="C24" s="34" t="s">
        <v>31</v>
      </c>
      <c r="D24" s="39">
        <v>3</v>
      </c>
      <c r="E24" s="35" t="s">
        <v>32</v>
      </c>
      <c r="F24" s="1" t="s">
        <v>27</v>
      </c>
    </row>
    <row r="25" spans="1:6" x14ac:dyDescent="0.25">
      <c r="A25" t="s">
        <v>102</v>
      </c>
      <c r="B25">
        <v>203</v>
      </c>
      <c r="C25" s="34" t="s">
        <v>31</v>
      </c>
      <c r="D25" s="39">
        <v>1</v>
      </c>
      <c r="E25" s="35" t="s">
        <v>33</v>
      </c>
      <c r="F25" s="1" t="s">
        <v>27</v>
      </c>
    </row>
    <row r="26" spans="1:6" x14ac:dyDescent="0.25">
      <c r="A26" t="s">
        <v>103</v>
      </c>
      <c r="B26">
        <v>203</v>
      </c>
      <c r="C26" s="34" t="s">
        <v>31</v>
      </c>
      <c r="D26" s="39">
        <v>2</v>
      </c>
      <c r="E26" s="35" t="s">
        <v>34</v>
      </c>
      <c r="F26" s="1" t="s">
        <v>27</v>
      </c>
    </row>
    <row r="27" spans="1:6" x14ac:dyDescent="0.25">
      <c r="A27" t="s">
        <v>104</v>
      </c>
      <c r="B27">
        <v>203</v>
      </c>
      <c r="C27" s="34" t="s">
        <v>31</v>
      </c>
      <c r="D27" s="39">
        <v>4</v>
      </c>
      <c r="E27" s="35" t="s">
        <v>35</v>
      </c>
      <c r="F27" s="1" t="s">
        <v>27</v>
      </c>
    </row>
    <row r="28" spans="1:6" ht="15.75" thickBot="1" x14ac:dyDescent="0.3">
      <c r="A28" t="s">
        <v>105</v>
      </c>
      <c r="B28">
        <v>203</v>
      </c>
      <c r="C28" s="32" t="s">
        <v>31</v>
      </c>
      <c r="D28" s="49">
        <v>5</v>
      </c>
      <c r="E28" s="50" t="s">
        <v>36</v>
      </c>
      <c r="F28" s="3" t="s">
        <v>27</v>
      </c>
    </row>
    <row r="29" spans="1:6" x14ac:dyDescent="0.25">
      <c r="A29" t="s">
        <v>106</v>
      </c>
      <c r="B29">
        <v>204</v>
      </c>
      <c r="C29" s="30" t="s">
        <v>38</v>
      </c>
      <c r="D29" s="38">
        <v>1</v>
      </c>
      <c r="E29" s="31" t="s">
        <v>59</v>
      </c>
      <c r="F29" s="4" t="s">
        <v>27</v>
      </c>
    </row>
    <row r="30" spans="1:6" x14ac:dyDescent="0.25">
      <c r="A30" t="s">
        <v>107</v>
      </c>
      <c r="B30">
        <v>204</v>
      </c>
      <c r="C30" s="34" t="s">
        <v>38</v>
      </c>
      <c r="D30" s="39">
        <v>2</v>
      </c>
      <c r="E30" s="35" t="s">
        <v>60</v>
      </c>
      <c r="F30" s="1" t="s">
        <v>27</v>
      </c>
    </row>
    <row r="31" spans="1:6" x14ac:dyDescent="0.25">
      <c r="A31" t="s">
        <v>108</v>
      </c>
      <c r="B31">
        <v>204</v>
      </c>
      <c r="C31" s="34" t="s">
        <v>38</v>
      </c>
      <c r="D31" s="39">
        <v>3</v>
      </c>
      <c r="E31" s="35" t="s">
        <v>61</v>
      </c>
      <c r="F31" s="1" t="s">
        <v>27</v>
      </c>
    </row>
    <row r="32" spans="1:6" x14ac:dyDescent="0.25">
      <c r="A32" t="s">
        <v>109</v>
      </c>
      <c r="B32">
        <v>204</v>
      </c>
      <c r="C32" s="34" t="s">
        <v>38</v>
      </c>
      <c r="D32" s="39">
        <v>4</v>
      </c>
      <c r="E32" s="35" t="s">
        <v>62</v>
      </c>
      <c r="F32" s="1" t="s">
        <v>27</v>
      </c>
    </row>
    <row r="33" spans="1:6" x14ac:dyDescent="0.25">
      <c r="A33" t="s">
        <v>110</v>
      </c>
      <c r="B33">
        <v>204</v>
      </c>
      <c r="C33" s="34" t="s">
        <v>38</v>
      </c>
      <c r="D33" s="39">
        <v>5</v>
      </c>
      <c r="E33" s="35" t="s">
        <v>63</v>
      </c>
      <c r="F33" s="1" t="s">
        <v>27</v>
      </c>
    </row>
    <row r="34" spans="1:6" x14ac:dyDescent="0.25">
      <c r="A34" t="s">
        <v>111</v>
      </c>
      <c r="B34">
        <v>204</v>
      </c>
      <c r="C34" s="34" t="s">
        <v>38</v>
      </c>
      <c r="D34" s="39">
        <v>6</v>
      </c>
      <c r="E34" s="35" t="s">
        <v>64</v>
      </c>
      <c r="F34" s="1" t="s">
        <v>27</v>
      </c>
    </row>
    <row r="35" spans="1:6" ht="15.75" thickBot="1" x14ac:dyDescent="0.3">
      <c r="A35" t="s">
        <v>112</v>
      </c>
      <c r="B35">
        <v>204</v>
      </c>
      <c r="C35" s="32" t="s">
        <v>38</v>
      </c>
      <c r="D35" s="49">
        <v>7</v>
      </c>
      <c r="E35" s="51" t="s">
        <v>65</v>
      </c>
      <c r="F35" s="3" t="s">
        <v>27</v>
      </c>
    </row>
    <row r="36" spans="1:6" x14ac:dyDescent="0.25">
      <c r="A36" t="s">
        <v>113</v>
      </c>
      <c r="B36">
        <v>205</v>
      </c>
      <c r="C36" s="30" t="s">
        <v>37</v>
      </c>
      <c r="D36" s="45">
        <v>0</v>
      </c>
      <c r="E36" s="47">
        <v>0</v>
      </c>
      <c r="F36" s="4" t="s">
        <v>27</v>
      </c>
    </row>
    <row r="37" spans="1:6" x14ac:dyDescent="0.25">
      <c r="A37" t="s">
        <v>114</v>
      </c>
      <c r="B37">
        <v>205</v>
      </c>
      <c r="C37" s="34" t="s">
        <v>37</v>
      </c>
      <c r="D37" s="39">
        <v>1</v>
      </c>
      <c r="E37" s="36">
        <v>1</v>
      </c>
      <c r="F37" s="1" t="s">
        <v>27</v>
      </c>
    </row>
    <row r="38" spans="1:6" x14ac:dyDescent="0.25">
      <c r="A38" t="s">
        <v>115</v>
      </c>
      <c r="B38">
        <v>205</v>
      </c>
      <c r="C38" s="34" t="s">
        <v>37</v>
      </c>
      <c r="D38" s="39">
        <v>2</v>
      </c>
      <c r="E38" s="36">
        <v>2</v>
      </c>
      <c r="F38" s="1" t="s">
        <v>27</v>
      </c>
    </row>
    <row r="39" spans="1:6" x14ac:dyDescent="0.25">
      <c r="A39" t="s">
        <v>116</v>
      </c>
      <c r="B39">
        <v>205</v>
      </c>
      <c r="C39" s="34" t="s">
        <v>37</v>
      </c>
      <c r="D39" s="39">
        <v>3</v>
      </c>
      <c r="E39" s="36">
        <v>3</v>
      </c>
      <c r="F39" s="1" t="s">
        <v>27</v>
      </c>
    </row>
    <row r="40" spans="1:6" x14ac:dyDescent="0.25">
      <c r="A40" t="s">
        <v>117</v>
      </c>
      <c r="B40">
        <v>205</v>
      </c>
      <c r="C40" s="34" t="s">
        <v>37</v>
      </c>
      <c r="D40" s="39">
        <v>4</v>
      </c>
      <c r="E40" s="36">
        <v>4</v>
      </c>
      <c r="F40" s="1" t="s">
        <v>27</v>
      </c>
    </row>
    <row r="41" spans="1:6" x14ac:dyDescent="0.25">
      <c r="A41" t="s">
        <v>118</v>
      </c>
      <c r="B41">
        <v>205</v>
      </c>
      <c r="C41" s="34" t="s">
        <v>37</v>
      </c>
      <c r="D41" s="39">
        <v>5</v>
      </c>
      <c r="E41" s="36">
        <v>5</v>
      </c>
      <c r="F41" s="1" t="s">
        <v>27</v>
      </c>
    </row>
    <row r="42" spans="1:6" ht="15.75" thickBot="1" x14ac:dyDescent="0.3">
      <c r="A42" t="s">
        <v>119</v>
      </c>
      <c r="B42">
        <v>205</v>
      </c>
      <c r="C42" s="33" t="s">
        <v>37</v>
      </c>
      <c r="D42" s="49">
        <v>6</v>
      </c>
      <c r="E42" s="52">
        <v>6</v>
      </c>
      <c r="F42" s="3" t="s">
        <v>27</v>
      </c>
    </row>
    <row r="43" spans="1:6" x14ac:dyDescent="0.25">
      <c r="A43" t="s">
        <v>120</v>
      </c>
      <c r="B43">
        <v>206</v>
      </c>
      <c r="C43" s="30" t="s">
        <v>66</v>
      </c>
      <c r="D43" s="45">
        <v>0</v>
      </c>
      <c r="E43" s="47" t="s">
        <v>67</v>
      </c>
      <c r="F43" s="4" t="s">
        <v>27</v>
      </c>
    </row>
    <row r="44" spans="1:6" x14ac:dyDescent="0.25">
      <c r="A44" t="s">
        <v>121</v>
      </c>
      <c r="B44">
        <v>206</v>
      </c>
      <c r="C44" s="34" t="s">
        <v>66</v>
      </c>
      <c r="D44" s="39">
        <v>1</v>
      </c>
      <c r="E44" s="36" t="s">
        <v>68</v>
      </c>
      <c r="F44" s="1" t="s">
        <v>27</v>
      </c>
    </row>
    <row r="45" spans="1:6" x14ac:dyDescent="0.25">
      <c r="A45" t="s">
        <v>122</v>
      </c>
      <c r="B45">
        <v>206</v>
      </c>
      <c r="C45" s="34" t="s">
        <v>66</v>
      </c>
      <c r="D45" s="39">
        <v>2</v>
      </c>
      <c r="E45" s="36" t="s">
        <v>69</v>
      </c>
      <c r="F45" s="1" t="s">
        <v>27</v>
      </c>
    </row>
    <row r="46" spans="1:6" ht="15.75" thickBot="1" x14ac:dyDescent="0.3">
      <c r="A46" t="s">
        <v>123</v>
      </c>
      <c r="B46">
        <v>206</v>
      </c>
      <c r="C46" s="32" t="s">
        <v>66</v>
      </c>
      <c r="D46" s="49">
        <v>3</v>
      </c>
      <c r="E46" s="52" t="s">
        <v>70</v>
      </c>
      <c r="F46" s="3" t="s">
        <v>27</v>
      </c>
    </row>
    <row r="47" spans="1:6" x14ac:dyDescent="0.25">
      <c r="A47" t="s">
        <v>124</v>
      </c>
      <c r="B47">
        <v>301</v>
      </c>
      <c r="C47" s="30" t="s">
        <v>58</v>
      </c>
      <c r="D47" s="45">
        <v>0</v>
      </c>
      <c r="E47" s="48">
        <v>0</v>
      </c>
      <c r="F47" s="4" t="s">
        <v>57</v>
      </c>
    </row>
    <row r="48" spans="1:6" x14ac:dyDescent="0.25">
      <c r="A48" t="s">
        <v>125</v>
      </c>
      <c r="B48">
        <v>301</v>
      </c>
      <c r="C48" s="34" t="s">
        <v>58</v>
      </c>
      <c r="D48" s="39">
        <v>1</v>
      </c>
      <c r="E48" s="37" t="s">
        <v>39</v>
      </c>
      <c r="F48" s="1" t="s">
        <v>57</v>
      </c>
    </row>
    <row r="49" spans="1:6" x14ac:dyDescent="0.25">
      <c r="A49" t="s">
        <v>126</v>
      </c>
      <c r="B49">
        <v>301</v>
      </c>
      <c r="C49" s="34" t="s">
        <v>58</v>
      </c>
      <c r="D49" s="39">
        <v>2</v>
      </c>
      <c r="E49" s="37" t="s">
        <v>42</v>
      </c>
      <c r="F49" s="1" t="s">
        <v>57</v>
      </c>
    </row>
    <row r="50" spans="1:6" x14ac:dyDescent="0.25">
      <c r="A50" t="s">
        <v>127</v>
      </c>
      <c r="B50">
        <v>301</v>
      </c>
      <c r="C50" s="34" t="s">
        <v>58</v>
      </c>
      <c r="D50" s="39">
        <v>3</v>
      </c>
      <c r="E50" s="37" t="s">
        <v>43</v>
      </c>
      <c r="F50" s="1" t="s">
        <v>57</v>
      </c>
    </row>
    <row r="51" spans="1:6" x14ac:dyDescent="0.25">
      <c r="A51" t="s">
        <v>128</v>
      </c>
      <c r="B51">
        <v>301</v>
      </c>
      <c r="C51" s="34" t="s">
        <v>58</v>
      </c>
      <c r="D51" s="39">
        <v>4</v>
      </c>
      <c r="E51" s="37" t="s">
        <v>46</v>
      </c>
      <c r="F51" s="1" t="s">
        <v>57</v>
      </c>
    </row>
    <row r="52" spans="1:6" x14ac:dyDescent="0.25">
      <c r="A52" t="s">
        <v>129</v>
      </c>
      <c r="B52">
        <v>301</v>
      </c>
      <c r="C52" s="34" t="s">
        <v>58</v>
      </c>
      <c r="D52" s="39">
        <v>5</v>
      </c>
      <c r="E52" s="37" t="s">
        <v>48</v>
      </c>
      <c r="F52" s="1" t="s">
        <v>57</v>
      </c>
    </row>
    <row r="53" spans="1:6" x14ac:dyDescent="0.25">
      <c r="A53" t="s">
        <v>130</v>
      </c>
      <c r="B53">
        <v>301</v>
      </c>
      <c r="C53" s="34" t="s">
        <v>58</v>
      </c>
      <c r="D53" s="39">
        <v>6</v>
      </c>
      <c r="E53" s="37" t="s">
        <v>51</v>
      </c>
      <c r="F53" s="1" t="s">
        <v>57</v>
      </c>
    </row>
    <row r="54" spans="1:6" ht="15.75" thickBot="1" x14ac:dyDescent="0.3">
      <c r="A54" t="s">
        <v>131</v>
      </c>
      <c r="B54">
        <v>301</v>
      </c>
      <c r="C54" s="32" t="s">
        <v>58</v>
      </c>
      <c r="D54" s="49">
        <v>7</v>
      </c>
      <c r="E54" s="53" t="s">
        <v>53</v>
      </c>
      <c r="F54" s="3" t="s">
        <v>57</v>
      </c>
    </row>
    <row r="55" spans="1:6" x14ac:dyDescent="0.25">
      <c r="A55" t="s">
        <v>132</v>
      </c>
      <c r="B55">
        <v>302</v>
      </c>
      <c r="C55" s="30" t="s">
        <v>71</v>
      </c>
      <c r="D55" s="45">
        <v>0</v>
      </c>
      <c r="E55" s="48">
        <v>0</v>
      </c>
      <c r="F55" s="4" t="s">
        <v>57</v>
      </c>
    </row>
    <row r="56" spans="1:6" x14ac:dyDescent="0.25">
      <c r="A56" t="s">
        <v>133</v>
      </c>
      <c r="B56">
        <v>302</v>
      </c>
      <c r="C56" s="34" t="s">
        <v>71</v>
      </c>
      <c r="D56" s="39">
        <v>1</v>
      </c>
      <c r="E56" s="37" t="s">
        <v>39</v>
      </c>
      <c r="F56" s="1" t="s">
        <v>57</v>
      </c>
    </row>
    <row r="57" spans="1:6" x14ac:dyDescent="0.25">
      <c r="A57" t="s">
        <v>134</v>
      </c>
      <c r="B57">
        <v>302</v>
      </c>
      <c r="C57" s="34" t="s">
        <v>71</v>
      </c>
      <c r="D57" s="39">
        <v>2</v>
      </c>
      <c r="E57" s="37" t="s">
        <v>40</v>
      </c>
      <c r="F57" s="1" t="s">
        <v>57</v>
      </c>
    </row>
    <row r="58" spans="1:6" x14ac:dyDescent="0.25">
      <c r="A58" t="s">
        <v>135</v>
      </c>
      <c r="B58">
        <v>302</v>
      </c>
      <c r="C58" s="34" t="s">
        <v>71</v>
      </c>
      <c r="D58" s="39">
        <v>3</v>
      </c>
      <c r="E58" s="37" t="s">
        <v>41</v>
      </c>
      <c r="F58" s="1" t="s">
        <v>57</v>
      </c>
    </row>
    <row r="59" spans="1:6" x14ac:dyDescent="0.25">
      <c r="A59" t="s">
        <v>136</v>
      </c>
      <c r="B59">
        <v>302</v>
      </c>
      <c r="C59" s="34" t="s">
        <v>71</v>
      </c>
      <c r="D59" s="39">
        <v>4</v>
      </c>
      <c r="E59" s="37" t="s">
        <v>42</v>
      </c>
      <c r="F59" s="1" t="s">
        <v>57</v>
      </c>
    </row>
    <row r="60" spans="1:6" x14ac:dyDescent="0.25">
      <c r="A60" t="s">
        <v>137</v>
      </c>
      <c r="B60">
        <v>302</v>
      </c>
      <c r="C60" s="34" t="s">
        <v>71</v>
      </c>
      <c r="D60" s="39">
        <v>5</v>
      </c>
      <c r="E60" s="37" t="s">
        <v>43</v>
      </c>
      <c r="F60" s="1" t="s">
        <v>57</v>
      </c>
    </row>
    <row r="61" spans="1:6" x14ac:dyDescent="0.25">
      <c r="A61" t="s">
        <v>138</v>
      </c>
      <c r="B61">
        <v>302</v>
      </c>
      <c r="C61" s="34" t="s">
        <v>71</v>
      </c>
      <c r="D61" s="39">
        <v>6</v>
      </c>
      <c r="E61" s="37" t="s">
        <v>44</v>
      </c>
      <c r="F61" s="1" t="s">
        <v>57</v>
      </c>
    </row>
    <row r="62" spans="1:6" x14ac:dyDescent="0.25">
      <c r="A62" t="s">
        <v>139</v>
      </c>
      <c r="B62">
        <v>302</v>
      </c>
      <c r="C62" s="34" t="s">
        <v>71</v>
      </c>
      <c r="D62" s="39">
        <v>7</v>
      </c>
      <c r="E62" s="37" t="s">
        <v>45</v>
      </c>
      <c r="F62" s="1" t="s">
        <v>57</v>
      </c>
    </row>
    <row r="63" spans="1:6" x14ac:dyDescent="0.25">
      <c r="A63" t="s">
        <v>140</v>
      </c>
      <c r="B63">
        <v>302</v>
      </c>
      <c r="C63" s="34" t="s">
        <v>71</v>
      </c>
      <c r="D63" s="39">
        <v>8</v>
      </c>
      <c r="E63" s="37" t="s">
        <v>46</v>
      </c>
      <c r="F63" s="1" t="s">
        <v>57</v>
      </c>
    </row>
    <row r="64" spans="1:6" x14ac:dyDescent="0.25">
      <c r="A64" t="s">
        <v>141</v>
      </c>
      <c r="B64">
        <v>302</v>
      </c>
      <c r="C64" s="34" t="s">
        <v>71</v>
      </c>
      <c r="D64" s="39">
        <v>9</v>
      </c>
      <c r="E64" s="37" t="s">
        <v>47</v>
      </c>
      <c r="F64" s="1" t="s">
        <v>57</v>
      </c>
    </row>
    <row r="65" spans="1:6" x14ac:dyDescent="0.25">
      <c r="A65" t="s">
        <v>142</v>
      </c>
      <c r="B65">
        <v>302</v>
      </c>
      <c r="C65" s="34" t="s">
        <v>71</v>
      </c>
      <c r="D65" s="39">
        <v>10</v>
      </c>
      <c r="E65" s="37" t="s">
        <v>48</v>
      </c>
      <c r="F65" s="1" t="s">
        <v>57</v>
      </c>
    </row>
    <row r="66" spans="1:6" x14ac:dyDescent="0.25">
      <c r="A66" t="s">
        <v>143</v>
      </c>
      <c r="B66">
        <v>302</v>
      </c>
      <c r="C66" s="34" t="s">
        <v>71</v>
      </c>
      <c r="D66" s="39">
        <v>11</v>
      </c>
      <c r="E66" s="37" t="s">
        <v>49</v>
      </c>
      <c r="F66" s="1" t="s">
        <v>57</v>
      </c>
    </row>
    <row r="67" spans="1:6" x14ac:dyDescent="0.25">
      <c r="A67" t="s">
        <v>144</v>
      </c>
      <c r="B67">
        <v>302</v>
      </c>
      <c r="C67" s="34" t="s">
        <v>71</v>
      </c>
      <c r="D67" s="39">
        <v>12</v>
      </c>
      <c r="E67" s="37" t="s">
        <v>50</v>
      </c>
      <c r="F67" s="1" t="s">
        <v>57</v>
      </c>
    </row>
    <row r="68" spans="1:6" x14ac:dyDescent="0.25">
      <c r="A68" t="s">
        <v>145</v>
      </c>
      <c r="B68">
        <v>302</v>
      </c>
      <c r="C68" s="34" t="s">
        <v>71</v>
      </c>
      <c r="D68" s="39">
        <v>13</v>
      </c>
      <c r="E68" s="37" t="s">
        <v>51</v>
      </c>
      <c r="F68" s="1" t="s">
        <v>57</v>
      </c>
    </row>
    <row r="69" spans="1:6" x14ac:dyDescent="0.25">
      <c r="A69" t="s">
        <v>146</v>
      </c>
      <c r="B69">
        <v>302</v>
      </c>
      <c r="C69" s="34" t="s">
        <v>71</v>
      </c>
      <c r="D69" s="39">
        <v>14</v>
      </c>
      <c r="E69" s="37" t="s">
        <v>52</v>
      </c>
      <c r="F69" s="1" t="s">
        <v>57</v>
      </c>
    </row>
    <row r="70" spans="1:6" x14ac:dyDescent="0.25">
      <c r="A70" t="s">
        <v>147</v>
      </c>
      <c r="B70">
        <v>302</v>
      </c>
      <c r="C70" s="34" t="s">
        <v>71</v>
      </c>
      <c r="D70" s="39">
        <v>15</v>
      </c>
      <c r="E70" s="37" t="s">
        <v>53</v>
      </c>
      <c r="F70" s="1" t="s">
        <v>57</v>
      </c>
    </row>
    <row r="71" spans="1:6" x14ac:dyDescent="0.25">
      <c r="A71" t="s">
        <v>148</v>
      </c>
      <c r="B71">
        <v>302</v>
      </c>
      <c r="C71" s="34" t="s">
        <v>71</v>
      </c>
      <c r="D71" s="39">
        <v>16</v>
      </c>
      <c r="E71" s="37" t="s">
        <v>54</v>
      </c>
      <c r="F71" s="1" t="s">
        <v>57</v>
      </c>
    </row>
    <row r="72" spans="1:6" x14ac:dyDescent="0.25">
      <c r="A72" t="s">
        <v>149</v>
      </c>
      <c r="B72">
        <v>302</v>
      </c>
      <c r="C72" s="34" t="s">
        <v>71</v>
      </c>
      <c r="D72" s="39">
        <v>17</v>
      </c>
      <c r="E72" s="37" t="s">
        <v>55</v>
      </c>
      <c r="F72" s="1" t="s">
        <v>57</v>
      </c>
    </row>
    <row r="73" spans="1:6" ht="15.75" thickBot="1" x14ac:dyDescent="0.3">
      <c r="A73" t="s">
        <v>150</v>
      </c>
      <c r="B73">
        <v>302</v>
      </c>
      <c r="C73" s="32" t="s">
        <v>71</v>
      </c>
      <c r="D73" s="49">
        <v>18</v>
      </c>
      <c r="E73" s="53" t="s">
        <v>56</v>
      </c>
      <c r="F73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7"/>
  <sheetViews>
    <sheetView tabSelected="1" workbookViewId="0">
      <selection activeCell="F22" sqref="F22"/>
    </sheetView>
  </sheetViews>
  <sheetFormatPr baseColWidth="10" defaultRowHeight="15" x14ac:dyDescent="0.25"/>
  <sheetData>
    <row r="1" spans="1:3" x14ac:dyDescent="0.25">
      <c r="A1" t="s">
        <v>153</v>
      </c>
      <c r="B1" t="s">
        <v>77</v>
      </c>
      <c r="C1" t="s">
        <v>152</v>
      </c>
    </row>
    <row r="2" spans="1:3" x14ac:dyDescent="0.25">
      <c r="A2">
        <v>1</v>
      </c>
      <c r="B2" s="6">
        <v>10101</v>
      </c>
      <c r="C2">
        <v>2.0826041302065102E-2</v>
      </c>
    </row>
    <row r="3" spans="1:3" x14ac:dyDescent="0.25">
      <c r="A3">
        <v>1</v>
      </c>
      <c r="B3" t="s">
        <v>80</v>
      </c>
      <c r="C3">
        <v>0.979173958697935</v>
      </c>
    </row>
    <row r="4" spans="1:3" x14ac:dyDescent="0.25">
      <c r="A4">
        <v>1</v>
      </c>
      <c r="B4" t="s">
        <v>81</v>
      </c>
      <c r="C4">
        <v>0.13385826771653545</v>
      </c>
    </row>
    <row r="5" spans="1:3" x14ac:dyDescent="0.25">
      <c r="A5">
        <v>1</v>
      </c>
      <c r="B5" t="s">
        <v>82</v>
      </c>
      <c r="C5">
        <v>0.86614173228346458</v>
      </c>
    </row>
    <row r="6" spans="1:3" x14ac:dyDescent="0.25">
      <c r="A6">
        <v>1</v>
      </c>
      <c r="B6" t="s">
        <v>83</v>
      </c>
      <c r="C6">
        <v>0.5322834645669291</v>
      </c>
    </row>
    <row r="7" spans="1:3" x14ac:dyDescent="0.25">
      <c r="A7">
        <v>1</v>
      </c>
      <c r="B7" t="s">
        <v>84</v>
      </c>
      <c r="C7">
        <v>0.46771653543307079</v>
      </c>
    </row>
    <row r="8" spans="1:3" x14ac:dyDescent="0.25">
      <c r="A8">
        <v>1</v>
      </c>
      <c r="B8" t="s">
        <v>85</v>
      </c>
      <c r="C8">
        <v>3.2895888013998252E-2</v>
      </c>
    </row>
    <row r="9" spans="1:3" x14ac:dyDescent="0.25">
      <c r="A9">
        <v>1</v>
      </c>
      <c r="B9" t="s">
        <v>86</v>
      </c>
      <c r="C9">
        <v>0.96710411198600188</v>
      </c>
    </row>
    <row r="10" spans="1:3" x14ac:dyDescent="0.25">
      <c r="A10">
        <v>1</v>
      </c>
      <c r="B10" t="s">
        <v>87</v>
      </c>
      <c r="C10">
        <v>0.44881889763779526</v>
      </c>
    </row>
    <row r="11" spans="1:3" x14ac:dyDescent="0.25">
      <c r="A11">
        <v>1</v>
      </c>
      <c r="B11" t="s">
        <v>88</v>
      </c>
      <c r="C11">
        <v>0.55118110236220474</v>
      </c>
    </row>
    <row r="12" spans="1:3" x14ac:dyDescent="0.25">
      <c r="A12">
        <v>1</v>
      </c>
      <c r="B12" t="s">
        <v>89</v>
      </c>
      <c r="C12">
        <v>0.60200136456675002</v>
      </c>
    </row>
    <row r="13" spans="1:3" x14ac:dyDescent="0.25">
      <c r="A13">
        <v>1</v>
      </c>
      <c r="B13" t="s">
        <v>90</v>
      </c>
      <c r="C13">
        <v>0.39799863543324998</v>
      </c>
    </row>
    <row r="14" spans="1:3" x14ac:dyDescent="0.25">
      <c r="A14">
        <v>1</v>
      </c>
      <c r="B14" t="s">
        <v>91</v>
      </c>
      <c r="C14">
        <v>0</v>
      </c>
    </row>
    <row r="15" spans="1:3" x14ac:dyDescent="0.25">
      <c r="A15">
        <v>1</v>
      </c>
      <c r="B15" t="s">
        <v>92</v>
      </c>
      <c r="C15">
        <v>7.5940507436570423E-2</v>
      </c>
    </row>
    <row r="16" spans="1:3" x14ac:dyDescent="0.25">
      <c r="A16">
        <v>1</v>
      </c>
      <c r="B16" t="s">
        <v>93</v>
      </c>
      <c r="C16">
        <v>5.2143482064741911E-2</v>
      </c>
    </row>
    <row r="17" spans="1:3" x14ac:dyDescent="0.25">
      <c r="A17">
        <v>1</v>
      </c>
      <c r="B17" t="s">
        <v>94</v>
      </c>
      <c r="C17">
        <v>0.81819772528433943</v>
      </c>
    </row>
    <row r="18" spans="1:3" x14ac:dyDescent="0.25">
      <c r="A18">
        <v>1</v>
      </c>
      <c r="B18" t="s">
        <v>95</v>
      </c>
      <c r="C18">
        <v>5.3718285214348203E-2</v>
      </c>
    </row>
    <row r="19" spans="1:3" x14ac:dyDescent="0.25">
      <c r="A19">
        <v>1</v>
      </c>
      <c r="B19" t="s">
        <v>96</v>
      </c>
      <c r="C19">
        <v>2.4501225061253063E-2</v>
      </c>
    </row>
    <row r="20" spans="1:3" x14ac:dyDescent="0.25">
      <c r="A20">
        <v>1</v>
      </c>
      <c r="B20" t="s">
        <v>97</v>
      </c>
      <c r="C20">
        <v>2.8876443822191109E-2</v>
      </c>
    </row>
    <row r="21" spans="1:3" x14ac:dyDescent="0.25">
      <c r="A21">
        <v>1</v>
      </c>
      <c r="B21" t="s">
        <v>98</v>
      </c>
      <c r="C21">
        <v>0.88834441722086099</v>
      </c>
    </row>
    <row r="22" spans="1:3" x14ac:dyDescent="0.25">
      <c r="A22">
        <v>1</v>
      </c>
      <c r="B22" t="s">
        <v>99</v>
      </c>
      <c r="C22">
        <v>5.8277913895694783E-2</v>
      </c>
    </row>
    <row r="23" spans="1:3" x14ac:dyDescent="0.25">
      <c r="A23">
        <v>1</v>
      </c>
      <c r="B23" t="s">
        <v>100</v>
      </c>
      <c r="C23">
        <v>0.39799863543324998</v>
      </c>
    </row>
    <row r="24" spans="1:3" x14ac:dyDescent="0.25">
      <c r="A24">
        <v>1</v>
      </c>
      <c r="B24" t="s">
        <v>101</v>
      </c>
      <c r="C24">
        <v>0.11325904025471913</v>
      </c>
    </row>
    <row r="25" spans="1:3" x14ac:dyDescent="0.25">
      <c r="A25">
        <v>1</v>
      </c>
      <c r="B25" t="s">
        <v>102</v>
      </c>
      <c r="C25">
        <v>4.3211280418467141E-3</v>
      </c>
    </row>
    <row r="26" spans="1:3" x14ac:dyDescent="0.25">
      <c r="A26">
        <v>1</v>
      </c>
      <c r="B26" t="s">
        <v>103</v>
      </c>
      <c r="C26">
        <v>5.2308392085512849E-2</v>
      </c>
    </row>
    <row r="27" spans="1:3" x14ac:dyDescent="0.25">
      <c r="A27">
        <v>1</v>
      </c>
      <c r="B27" t="s">
        <v>104</v>
      </c>
      <c r="C27">
        <v>0.26290652717762109</v>
      </c>
    </row>
    <row r="28" spans="1:3" x14ac:dyDescent="0.25">
      <c r="A28">
        <v>1</v>
      </c>
      <c r="B28" t="s">
        <v>105</v>
      </c>
      <c r="C28">
        <v>0.16920627700705027</v>
      </c>
    </row>
    <row r="29" spans="1:3" x14ac:dyDescent="0.25">
      <c r="A29">
        <v>1</v>
      </c>
      <c r="B29" t="s">
        <v>106</v>
      </c>
      <c r="C29">
        <v>0.29179065289690181</v>
      </c>
    </row>
    <row r="30" spans="1:3" x14ac:dyDescent="0.25">
      <c r="A30">
        <v>1</v>
      </c>
      <c r="B30" t="s">
        <v>107</v>
      </c>
      <c r="C30">
        <v>0.28899002275511992</v>
      </c>
    </row>
    <row r="31" spans="1:3" x14ac:dyDescent="0.25">
      <c r="A31">
        <v>1</v>
      </c>
      <c r="B31" t="s">
        <v>108</v>
      </c>
      <c r="C31">
        <v>0.2336775774549274</v>
      </c>
    </row>
    <row r="32" spans="1:3" x14ac:dyDescent="0.25">
      <c r="A32">
        <v>1</v>
      </c>
      <c r="B32" t="s">
        <v>109</v>
      </c>
      <c r="C32">
        <v>6.9315596009102046E-2</v>
      </c>
    </row>
    <row r="33" spans="1:3" x14ac:dyDescent="0.25">
      <c r="A33">
        <v>1</v>
      </c>
      <c r="B33" t="s">
        <v>110</v>
      </c>
      <c r="C33">
        <v>2.0654647295641523E-2</v>
      </c>
    </row>
    <row r="34" spans="1:3" x14ac:dyDescent="0.25">
      <c r="A34">
        <v>1</v>
      </c>
      <c r="B34" t="s">
        <v>111</v>
      </c>
      <c r="C34">
        <v>5.77629966742517E-2</v>
      </c>
    </row>
    <row r="35" spans="1:3" x14ac:dyDescent="0.25">
      <c r="A35">
        <v>1</v>
      </c>
      <c r="B35" t="s">
        <v>112</v>
      </c>
      <c r="C35">
        <v>3.7808506914055663E-2</v>
      </c>
    </row>
    <row r="36" spans="1:3" x14ac:dyDescent="0.25">
      <c r="A36">
        <v>1</v>
      </c>
      <c r="B36" t="s">
        <v>113</v>
      </c>
      <c r="C36">
        <v>0.35482587064676624</v>
      </c>
    </row>
    <row r="37" spans="1:3" x14ac:dyDescent="0.25">
      <c r="A37">
        <v>1</v>
      </c>
      <c r="B37" t="s">
        <v>114</v>
      </c>
      <c r="C37">
        <v>0.34786069651741292</v>
      </c>
    </row>
    <row r="38" spans="1:3" x14ac:dyDescent="0.25">
      <c r="A38">
        <v>1</v>
      </c>
      <c r="B38" t="s">
        <v>115</v>
      </c>
      <c r="C38">
        <v>0.21213930348258705</v>
      </c>
    </row>
    <row r="39" spans="1:3" x14ac:dyDescent="0.25">
      <c r="A39">
        <v>1</v>
      </c>
      <c r="B39" t="s">
        <v>116</v>
      </c>
      <c r="C39">
        <v>8.1393034825870653E-2</v>
      </c>
    </row>
    <row r="40" spans="1:3" x14ac:dyDescent="0.25">
      <c r="A40">
        <v>1</v>
      </c>
      <c r="B40" t="s">
        <v>117</v>
      </c>
      <c r="C40">
        <v>2.5870646766169153E-3</v>
      </c>
    </row>
    <row r="41" spans="1:3" x14ac:dyDescent="0.25">
      <c r="A41">
        <v>1</v>
      </c>
      <c r="B41" t="s">
        <v>118</v>
      </c>
      <c r="C41">
        <v>1.1940298507462687E-3</v>
      </c>
    </row>
    <row r="42" spans="1:3" x14ac:dyDescent="0.25">
      <c r="A42">
        <v>1</v>
      </c>
      <c r="B42" t="s">
        <v>119</v>
      </c>
      <c r="C42">
        <v>0</v>
      </c>
    </row>
    <row r="43" spans="1:3" x14ac:dyDescent="0.25">
      <c r="A43">
        <v>1</v>
      </c>
      <c r="B43" t="s">
        <v>120</v>
      </c>
      <c r="C43">
        <v>0.35482587064676624</v>
      </c>
    </row>
    <row r="44" spans="1:3" x14ac:dyDescent="0.25">
      <c r="A44">
        <v>1</v>
      </c>
      <c r="B44" t="s">
        <v>121</v>
      </c>
      <c r="C44">
        <v>0.55999999999999994</v>
      </c>
    </row>
    <row r="45" spans="1:3" x14ac:dyDescent="0.25">
      <c r="A45">
        <v>1</v>
      </c>
      <c r="B45" t="s">
        <v>122</v>
      </c>
      <c r="C45">
        <v>8.3980099502487568E-2</v>
      </c>
    </row>
    <row r="46" spans="1:3" x14ac:dyDescent="0.25">
      <c r="A46">
        <v>1</v>
      </c>
      <c r="B46" t="s">
        <v>123</v>
      </c>
      <c r="C46">
        <v>1.1940298507462687E-3</v>
      </c>
    </row>
    <row r="47" spans="1:3" x14ac:dyDescent="0.25">
      <c r="A47">
        <v>1</v>
      </c>
      <c r="B47" t="s">
        <v>124</v>
      </c>
      <c r="C47">
        <v>0.90759137769447051</v>
      </c>
    </row>
    <row r="48" spans="1:3" x14ac:dyDescent="0.25">
      <c r="A48">
        <v>1</v>
      </c>
      <c r="B48" t="s">
        <v>125</v>
      </c>
      <c r="C48">
        <v>1.1246485473289597E-3</v>
      </c>
    </row>
    <row r="49" spans="1:3" x14ac:dyDescent="0.25">
      <c r="A49">
        <v>1</v>
      </c>
      <c r="B49" t="s">
        <v>126</v>
      </c>
      <c r="C49">
        <v>0</v>
      </c>
    </row>
    <row r="50" spans="1:3" x14ac:dyDescent="0.25">
      <c r="A50">
        <v>1</v>
      </c>
      <c r="B50" t="s">
        <v>127</v>
      </c>
      <c r="C50">
        <v>1.4245548266166823E-2</v>
      </c>
    </row>
    <row r="51" spans="1:3" x14ac:dyDescent="0.25">
      <c r="A51">
        <v>1</v>
      </c>
      <c r="B51" t="s">
        <v>128</v>
      </c>
      <c r="C51">
        <v>2.3242736644798499E-2</v>
      </c>
    </row>
    <row r="52" spans="1:3" x14ac:dyDescent="0.25">
      <c r="A52">
        <v>1</v>
      </c>
      <c r="B52" t="s">
        <v>129</v>
      </c>
      <c r="C52">
        <v>3.5613870665417058E-3</v>
      </c>
    </row>
    <row r="53" spans="1:3" x14ac:dyDescent="0.25">
      <c r="A53">
        <v>1</v>
      </c>
      <c r="B53" t="s">
        <v>130</v>
      </c>
      <c r="C53">
        <v>3.9550140581068413E-2</v>
      </c>
    </row>
    <row r="54" spans="1:3" x14ac:dyDescent="0.25">
      <c r="A54">
        <v>1</v>
      </c>
      <c r="B54" t="s">
        <v>131</v>
      </c>
      <c r="C54">
        <v>1.0684161199625118E-2</v>
      </c>
    </row>
    <row r="55" spans="1:3" x14ac:dyDescent="0.25">
      <c r="A55">
        <v>1</v>
      </c>
      <c r="B55" t="s">
        <v>132</v>
      </c>
      <c r="C55">
        <v>0.48143982002249719</v>
      </c>
    </row>
    <row r="56" spans="1:3" x14ac:dyDescent="0.25">
      <c r="A56">
        <v>1</v>
      </c>
      <c r="B56" t="s">
        <v>133</v>
      </c>
      <c r="C56">
        <v>3.7495313085864268E-3</v>
      </c>
    </row>
    <row r="57" spans="1:3" x14ac:dyDescent="0.25">
      <c r="A57">
        <v>1</v>
      </c>
      <c r="B57" t="s">
        <v>134</v>
      </c>
      <c r="C57">
        <v>4.8743907011623549E-3</v>
      </c>
    </row>
    <row r="58" spans="1:3" x14ac:dyDescent="0.25">
      <c r="A58">
        <v>1</v>
      </c>
      <c r="B58" t="s">
        <v>135</v>
      </c>
      <c r="C58">
        <v>7.3115860517435323E-3</v>
      </c>
    </row>
    <row r="59" spans="1:3" x14ac:dyDescent="0.25">
      <c r="A59">
        <v>1</v>
      </c>
      <c r="B59" t="s">
        <v>136</v>
      </c>
      <c r="C59">
        <v>4.3119610048743907E-2</v>
      </c>
    </row>
    <row r="60" spans="1:3" x14ac:dyDescent="0.25">
      <c r="A60">
        <v>1</v>
      </c>
      <c r="B60" t="s">
        <v>137</v>
      </c>
      <c r="C60">
        <v>8.1927259092613405E-2</v>
      </c>
    </row>
    <row r="61" spans="1:3" x14ac:dyDescent="0.25">
      <c r="A61">
        <v>1</v>
      </c>
      <c r="B61" t="s">
        <v>138</v>
      </c>
      <c r="C61">
        <v>4.6869141357330337E-3</v>
      </c>
    </row>
    <row r="62" spans="1:3" x14ac:dyDescent="0.25">
      <c r="A62">
        <v>1</v>
      </c>
      <c r="B62" t="s">
        <v>139</v>
      </c>
      <c r="C62">
        <v>1.1248593925759281E-3</v>
      </c>
    </row>
    <row r="63" spans="1:3" x14ac:dyDescent="0.25">
      <c r="A63">
        <v>1</v>
      </c>
      <c r="B63" t="s">
        <v>140</v>
      </c>
      <c r="C63">
        <v>0.13142107236595427</v>
      </c>
    </row>
    <row r="64" spans="1:3" x14ac:dyDescent="0.25">
      <c r="A64">
        <v>1</v>
      </c>
      <c r="B64" t="s">
        <v>141</v>
      </c>
      <c r="C64">
        <v>3.7495313085864268E-3</v>
      </c>
    </row>
    <row r="65" spans="1:3" x14ac:dyDescent="0.25">
      <c r="A65">
        <v>1</v>
      </c>
      <c r="B65" t="s">
        <v>142</v>
      </c>
      <c r="C65">
        <v>3.0183727034120734E-2</v>
      </c>
    </row>
    <row r="66" spans="1:3" x14ac:dyDescent="0.25">
      <c r="A66">
        <v>1</v>
      </c>
      <c r="B66" t="s">
        <v>143</v>
      </c>
      <c r="C66">
        <v>1.1248593925759281E-3</v>
      </c>
    </row>
    <row r="67" spans="1:3" x14ac:dyDescent="0.25">
      <c r="A67">
        <v>1</v>
      </c>
      <c r="B67" t="s">
        <v>144</v>
      </c>
      <c r="C67">
        <v>1.1248593925759281E-3</v>
      </c>
    </row>
    <row r="68" spans="1:3" x14ac:dyDescent="0.25">
      <c r="A68">
        <v>1</v>
      </c>
      <c r="B68" t="s">
        <v>145</v>
      </c>
      <c r="C68">
        <v>0.12260967379077617</v>
      </c>
    </row>
    <row r="69" spans="1:3" x14ac:dyDescent="0.25">
      <c r="A69">
        <v>1</v>
      </c>
      <c r="B69" t="s">
        <v>146</v>
      </c>
      <c r="C69">
        <v>1.2935883014623173E-2</v>
      </c>
    </row>
    <row r="70" spans="1:3" x14ac:dyDescent="0.25">
      <c r="A70">
        <v>1</v>
      </c>
      <c r="B70" t="s">
        <v>147</v>
      </c>
      <c r="C70">
        <v>5.3993250843644543E-2</v>
      </c>
    </row>
    <row r="71" spans="1:3" x14ac:dyDescent="0.25">
      <c r="A71">
        <v>1</v>
      </c>
      <c r="B71" t="s">
        <v>148</v>
      </c>
      <c r="C71">
        <v>7.4990626171728535E-3</v>
      </c>
    </row>
    <row r="72" spans="1:3" x14ac:dyDescent="0.25">
      <c r="A72">
        <v>1</v>
      </c>
      <c r="B72" t="s">
        <v>149</v>
      </c>
      <c r="C72">
        <v>5.999250093738283E-3</v>
      </c>
    </row>
    <row r="73" spans="1:3" x14ac:dyDescent="0.25">
      <c r="A73">
        <v>1</v>
      </c>
      <c r="B73" t="s">
        <v>150</v>
      </c>
      <c r="C73">
        <v>1.1248593925759281E-3</v>
      </c>
    </row>
    <row r="74" spans="1:3" x14ac:dyDescent="0.25">
      <c r="A74">
        <v>2</v>
      </c>
      <c r="B74" s="6">
        <v>10101</v>
      </c>
      <c r="C74">
        <v>0.45700245700245701</v>
      </c>
    </row>
    <row r="75" spans="1:3" x14ac:dyDescent="0.25">
      <c r="A75">
        <v>2</v>
      </c>
      <c r="B75" t="s">
        <v>80</v>
      </c>
      <c r="C75">
        <v>0.54299754299754299</v>
      </c>
    </row>
    <row r="76" spans="1:3" x14ac:dyDescent="0.25">
      <c r="A76">
        <v>2</v>
      </c>
      <c r="B76" t="s">
        <v>81</v>
      </c>
      <c r="C76">
        <v>0.2285012285012285</v>
      </c>
    </row>
    <row r="77" spans="1:3" x14ac:dyDescent="0.25">
      <c r="A77">
        <v>2</v>
      </c>
      <c r="B77" t="s">
        <v>82</v>
      </c>
      <c r="C77">
        <v>0.77149877149877155</v>
      </c>
    </row>
    <row r="78" spans="1:3" x14ac:dyDescent="0.25">
      <c r="A78">
        <v>2</v>
      </c>
      <c r="B78" t="s">
        <v>83</v>
      </c>
      <c r="C78">
        <v>0.63067484662576689</v>
      </c>
    </row>
    <row r="79" spans="1:3" x14ac:dyDescent="0.25">
      <c r="A79">
        <v>2</v>
      </c>
      <c r="B79" t="s">
        <v>84</v>
      </c>
      <c r="C79">
        <v>0.36932515337423311</v>
      </c>
    </row>
    <row r="80" spans="1:3" x14ac:dyDescent="0.25">
      <c r="A80">
        <v>2</v>
      </c>
      <c r="B80" t="s">
        <v>85</v>
      </c>
      <c r="C80">
        <v>3.6809815950920248E-2</v>
      </c>
    </row>
    <row r="81" spans="1:3" x14ac:dyDescent="0.25">
      <c r="A81">
        <v>2</v>
      </c>
      <c r="B81" t="s">
        <v>86</v>
      </c>
      <c r="C81">
        <v>0.96319018404907975</v>
      </c>
    </row>
    <row r="82" spans="1:3" x14ac:dyDescent="0.25">
      <c r="A82">
        <v>2</v>
      </c>
      <c r="B82" t="s">
        <v>87</v>
      </c>
      <c r="C82">
        <v>0.69287469287469283</v>
      </c>
    </row>
    <row r="83" spans="1:3" x14ac:dyDescent="0.25">
      <c r="A83">
        <v>2</v>
      </c>
      <c r="B83" t="s">
        <v>88</v>
      </c>
      <c r="C83">
        <v>0.30712530712530711</v>
      </c>
    </row>
    <row r="84" spans="1:3" x14ac:dyDescent="0.25">
      <c r="A84">
        <v>2</v>
      </c>
      <c r="B84" t="s">
        <v>89</v>
      </c>
      <c r="C84">
        <v>0.60468521229868233</v>
      </c>
    </row>
    <row r="85" spans="1:3" x14ac:dyDescent="0.25">
      <c r="A85">
        <v>2</v>
      </c>
      <c r="B85" t="s">
        <v>90</v>
      </c>
      <c r="C85">
        <v>0.39531478770131767</v>
      </c>
    </row>
    <row r="86" spans="1:3" x14ac:dyDescent="0.25">
      <c r="A86">
        <v>2</v>
      </c>
      <c r="B86" t="s">
        <v>91</v>
      </c>
      <c r="C86">
        <v>0</v>
      </c>
    </row>
    <row r="87" spans="1:3" x14ac:dyDescent="0.25">
      <c r="A87">
        <v>2</v>
      </c>
      <c r="B87" t="s">
        <v>92</v>
      </c>
      <c r="C87">
        <v>4.7911547911547912E-2</v>
      </c>
    </row>
    <row r="88" spans="1:3" x14ac:dyDescent="0.25">
      <c r="A88">
        <v>2</v>
      </c>
      <c r="B88" t="s">
        <v>93</v>
      </c>
      <c r="C88">
        <v>0.11179361179361179</v>
      </c>
    </row>
    <row r="89" spans="1:3" x14ac:dyDescent="0.25">
      <c r="A89">
        <v>2</v>
      </c>
      <c r="B89" t="s">
        <v>94</v>
      </c>
      <c r="C89">
        <v>0.81818181818181823</v>
      </c>
    </row>
    <row r="90" spans="1:3" x14ac:dyDescent="0.25">
      <c r="A90">
        <v>2</v>
      </c>
      <c r="B90" t="s">
        <v>95</v>
      </c>
      <c r="C90">
        <v>2.2113022113022112E-2</v>
      </c>
    </row>
    <row r="91" spans="1:3" x14ac:dyDescent="0.25">
      <c r="A91">
        <v>2</v>
      </c>
      <c r="B91" t="s">
        <v>96</v>
      </c>
      <c r="C91">
        <v>0.20761670761670761</v>
      </c>
    </row>
    <row r="92" spans="1:3" x14ac:dyDescent="0.25">
      <c r="A92">
        <v>2</v>
      </c>
      <c r="B92" t="s">
        <v>97</v>
      </c>
      <c r="C92">
        <v>9.213759213759215E-2</v>
      </c>
    </row>
    <row r="93" spans="1:3" x14ac:dyDescent="0.25">
      <c r="A93">
        <v>2</v>
      </c>
      <c r="B93" t="s">
        <v>98</v>
      </c>
      <c r="C93">
        <v>0.63267813267813267</v>
      </c>
    </row>
    <row r="94" spans="1:3" x14ac:dyDescent="0.25">
      <c r="A94">
        <v>2</v>
      </c>
      <c r="B94" t="s">
        <v>99</v>
      </c>
      <c r="C94">
        <v>6.7567567567567571E-2</v>
      </c>
    </row>
    <row r="95" spans="1:3" x14ac:dyDescent="0.25">
      <c r="A95">
        <v>2</v>
      </c>
      <c r="B95" t="s">
        <v>100</v>
      </c>
      <c r="C95">
        <v>0.39531478770131767</v>
      </c>
    </row>
    <row r="96" spans="1:3" x14ac:dyDescent="0.25">
      <c r="A96">
        <v>2</v>
      </c>
      <c r="B96" t="s">
        <v>101</v>
      </c>
      <c r="C96">
        <v>9.224011713030747E-2</v>
      </c>
    </row>
    <row r="97" spans="1:3" x14ac:dyDescent="0.25">
      <c r="A97">
        <v>2</v>
      </c>
      <c r="B97" t="s">
        <v>102</v>
      </c>
      <c r="C97">
        <v>0</v>
      </c>
    </row>
    <row r="98" spans="1:3" x14ac:dyDescent="0.25">
      <c r="A98">
        <v>2</v>
      </c>
      <c r="B98" t="s">
        <v>103</v>
      </c>
      <c r="C98">
        <v>0.1273792093704246</v>
      </c>
    </row>
    <row r="99" spans="1:3" x14ac:dyDescent="0.25">
      <c r="A99">
        <v>2</v>
      </c>
      <c r="B99" t="s">
        <v>104</v>
      </c>
      <c r="C99">
        <v>0.31185944363103951</v>
      </c>
    </row>
    <row r="100" spans="1:3" x14ac:dyDescent="0.25">
      <c r="A100">
        <v>2</v>
      </c>
      <c r="B100" t="s">
        <v>105</v>
      </c>
      <c r="C100">
        <v>7.320644216691069E-2</v>
      </c>
    </row>
    <row r="101" spans="1:3" x14ac:dyDescent="0.25">
      <c r="A101">
        <v>2</v>
      </c>
      <c r="B101" t="s">
        <v>106</v>
      </c>
      <c r="C101">
        <v>0.21894218942189422</v>
      </c>
    </row>
    <row r="102" spans="1:3" x14ac:dyDescent="0.25">
      <c r="A102">
        <v>2</v>
      </c>
      <c r="B102" t="s">
        <v>107</v>
      </c>
      <c r="C102">
        <v>0.30012300123001229</v>
      </c>
    </row>
    <row r="103" spans="1:3" x14ac:dyDescent="0.25">
      <c r="A103">
        <v>2</v>
      </c>
      <c r="B103" t="s">
        <v>108</v>
      </c>
      <c r="C103">
        <v>0.1857318573185732</v>
      </c>
    </row>
    <row r="104" spans="1:3" x14ac:dyDescent="0.25">
      <c r="A104">
        <v>2</v>
      </c>
      <c r="B104" t="s">
        <v>109</v>
      </c>
      <c r="C104">
        <v>7.995079950799508E-2</v>
      </c>
    </row>
    <row r="105" spans="1:3" x14ac:dyDescent="0.25">
      <c r="A105">
        <v>2</v>
      </c>
      <c r="B105" t="s">
        <v>110</v>
      </c>
      <c r="C105">
        <v>7.7490774907749083E-2</v>
      </c>
    </row>
    <row r="106" spans="1:3" x14ac:dyDescent="0.25">
      <c r="A106">
        <v>2</v>
      </c>
      <c r="B106" t="s">
        <v>111</v>
      </c>
      <c r="C106">
        <v>6.7650676506765067E-2</v>
      </c>
    </row>
    <row r="107" spans="1:3" x14ac:dyDescent="0.25">
      <c r="A107">
        <v>2</v>
      </c>
      <c r="B107" t="s">
        <v>112</v>
      </c>
      <c r="C107">
        <v>7.0110701107011064E-2</v>
      </c>
    </row>
    <row r="108" spans="1:3" x14ac:dyDescent="0.25">
      <c r="A108">
        <v>2</v>
      </c>
      <c r="B108" t="s">
        <v>113</v>
      </c>
      <c r="C108">
        <v>0.19865319865319864</v>
      </c>
    </row>
    <row r="109" spans="1:3" x14ac:dyDescent="0.25">
      <c r="A109">
        <v>2</v>
      </c>
      <c r="B109" t="s">
        <v>114</v>
      </c>
      <c r="C109">
        <v>0.44612794612794615</v>
      </c>
    </row>
    <row r="110" spans="1:3" x14ac:dyDescent="0.25">
      <c r="A110">
        <v>2</v>
      </c>
      <c r="B110" t="s">
        <v>115</v>
      </c>
      <c r="C110">
        <v>0.21885521885521886</v>
      </c>
    </row>
    <row r="111" spans="1:3" x14ac:dyDescent="0.25">
      <c r="A111">
        <v>2</v>
      </c>
      <c r="B111" t="s">
        <v>116</v>
      </c>
      <c r="C111">
        <v>9.2592592592592601E-2</v>
      </c>
    </row>
    <row r="112" spans="1:3" x14ac:dyDescent="0.25">
      <c r="A112">
        <v>2</v>
      </c>
      <c r="B112" t="s">
        <v>117</v>
      </c>
      <c r="C112">
        <v>3.1986531986531987E-2</v>
      </c>
    </row>
    <row r="113" spans="1:3" x14ac:dyDescent="0.25">
      <c r="A113">
        <v>2</v>
      </c>
      <c r="B113" t="s">
        <v>118</v>
      </c>
      <c r="C113">
        <v>5.0505050505050509E-3</v>
      </c>
    </row>
    <row r="114" spans="1:3" x14ac:dyDescent="0.25">
      <c r="A114">
        <v>2</v>
      </c>
      <c r="B114" t="s">
        <v>119</v>
      </c>
      <c r="C114">
        <v>6.7340067340067337E-3</v>
      </c>
    </row>
    <row r="115" spans="1:3" x14ac:dyDescent="0.25">
      <c r="A115">
        <v>2</v>
      </c>
      <c r="B115" t="s">
        <v>120</v>
      </c>
      <c r="C115">
        <v>0.19865319865319864</v>
      </c>
    </row>
    <row r="116" spans="1:3" x14ac:dyDescent="0.25">
      <c r="A116">
        <v>2</v>
      </c>
      <c r="B116" t="s">
        <v>121</v>
      </c>
      <c r="C116">
        <v>0.66498316498316501</v>
      </c>
    </row>
    <row r="117" spans="1:3" x14ac:dyDescent="0.25">
      <c r="A117">
        <v>2</v>
      </c>
      <c r="B117" t="s">
        <v>122</v>
      </c>
      <c r="C117">
        <v>0.12457912457912459</v>
      </c>
    </row>
    <row r="118" spans="1:3" x14ac:dyDescent="0.25">
      <c r="A118">
        <v>2</v>
      </c>
      <c r="B118" t="s">
        <v>123</v>
      </c>
      <c r="C118">
        <v>1.1784511784511785E-2</v>
      </c>
    </row>
    <row r="119" spans="1:3" x14ac:dyDescent="0.25">
      <c r="A119">
        <v>2</v>
      </c>
      <c r="B119" t="s">
        <v>124</v>
      </c>
      <c r="C119">
        <v>0.9157894736842106</v>
      </c>
    </row>
    <row r="120" spans="1:3" x14ac:dyDescent="0.25">
      <c r="A120">
        <v>2</v>
      </c>
      <c r="B120" t="s">
        <v>125</v>
      </c>
      <c r="C120">
        <v>0</v>
      </c>
    </row>
    <row r="121" spans="1:3" x14ac:dyDescent="0.25">
      <c r="A121">
        <v>2</v>
      </c>
      <c r="B121" t="s">
        <v>126</v>
      </c>
      <c r="C121">
        <v>1.1842105263157897E-2</v>
      </c>
    </row>
    <row r="122" spans="1:3" x14ac:dyDescent="0.25">
      <c r="A122">
        <v>2</v>
      </c>
      <c r="B122" t="s">
        <v>127</v>
      </c>
      <c r="C122">
        <v>0</v>
      </c>
    </row>
    <row r="123" spans="1:3" x14ac:dyDescent="0.25">
      <c r="A123">
        <v>2</v>
      </c>
      <c r="B123" t="s">
        <v>128</v>
      </c>
      <c r="C123">
        <v>1.1842105263157897E-2</v>
      </c>
    </row>
    <row r="124" spans="1:3" x14ac:dyDescent="0.25">
      <c r="A124">
        <v>2</v>
      </c>
      <c r="B124" t="s">
        <v>129</v>
      </c>
      <c r="C124">
        <v>0</v>
      </c>
    </row>
    <row r="125" spans="1:3" x14ac:dyDescent="0.25">
      <c r="A125">
        <v>2</v>
      </c>
      <c r="B125" t="s">
        <v>130</v>
      </c>
      <c r="C125">
        <v>6.0526315789473678E-2</v>
      </c>
    </row>
    <row r="126" spans="1:3" x14ac:dyDescent="0.25">
      <c r="A126">
        <v>2</v>
      </c>
      <c r="B126" t="s">
        <v>131</v>
      </c>
      <c r="C126">
        <v>0</v>
      </c>
    </row>
    <row r="127" spans="1:3" x14ac:dyDescent="0.25">
      <c r="A127">
        <v>2</v>
      </c>
      <c r="B127" t="s">
        <v>132</v>
      </c>
      <c r="C127">
        <v>0.51973684210526316</v>
      </c>
    </row>
    <row r="128" spans="1:3" x14ac:dyDescent="0.25">
      <c r="A128">
        <v>2</v>
      </c>
      <c r="B128" t="s">
        <v>133</v>
      </c>
      <c r="C128">
        <v>0</v>
      </c>
    </row>
    <row r="129" spans="1:3" x14ac:dyDescent="0.25">
      <c r="A129">
        <v>2</v>
      </c>
      <c r="B129" t="s">
        <v>134</v>
      </c>
      <c r="C129">
        <v>0</v>
      </c>
    </row>
    <row r="130" spans="1:3" x14ac:dyDescent="0.25">
      <c r="A130">
        <v>2</v>
      </c>
      <c r="B130" t="s">
        <v>135</v>
      </c>
      <c r="C130">
        <v>0</v>
      </c>
    </row>
    <row r="131" spans="1:3" x14ac:dyDescent="0.25">
      <c r="A131">
        <v>2</v>
      </c>
      <c r="B131" t="s">
        <v>136</v>
      </c>
      <c r="C131">
        <v>2.5000000000000001E-2</v>
      </c>
    </row>
    <row r="132" spans="1:3" x14ac:dyDescent="0.25">
      <c r="A132">
        <v>2</v>
      </c>
      <c r="B132" t="s">
        <v>137</v>
      </c>
      <c r="C132">
        <v>6.3157894736842107E-2</v>
      </c>
    </row>
    <row r="133" spans="1:3" x14ac:dyDescent="0.25">
      <c r="A133">
        <v>2</v>
      </c>
      <c r="B133" t="s">
        <v>138</v>
      </c>
      <c r="C133">
        <v>1.1842105263157897E-2</v>
      </c>
    </row>
    <row r="134" spans="1:3" x14ac:dyDescent="0.25">
      <c r="A134">
        <v>2</v>
      </c>
      <c r="B134" t="s">
        <v>139</v>
      </c>
      <c r="C134">
        <v>0</v>
      </c>
    </row>
    <row r="135" spans="1:3" x14ac:dyDescent="0.25">
      <c r="A135">
        <v>2</v>
      </c>
      <c r="B135" t="s">
        <v>140</v>
      </c>
      <c r="C135">
        <v>4.7368421052631587E-2</v>
      </c>
    </row>
    <row r="136" spans="1:3" x14ac:dyDescent="0.25">
      <c r="A136">
        <v>2</v>
      </c>
      <c r="B136" t="s">
        <v>141</v>
      </c>
      <c r="C136">
        <v>0</v>
      </c>
    </row>
    <row r="137" spans="1:3" x14ac:dyDescent="0.25">
      <c r="A137">
        <v>2</v>
      </c>
      <c r="B137" t="s">
        <v>142</v>
      </c>
      <c r="C137">
        <v>2.5000000000000001E-2</v>
      </c>
    </row>
    <row r="138" spans="1:3" x14ac:dyDescent="0.25">
      <c r="A138">
        <v>2</v>
      </c>
      <c r="B138" t="s">
        <v>143</v>
      </c>
      <c r="C138">
        <v>0</v>
      </c>
    </row>
    <row r="139" spans="1:3" x14ac:dyDescent="0.25">
      <c r="A139">
        <v>2</v>
      </c>
      <c r="B139" t="s">
        <v>144</v>
      </c>
      <c r="C139">
        <v>0</v>
      </c>
    </row>
    <row r="140" spans="1:3" x14ac:dyDescent="0.25">
      <c r="A140">
        <v>2</v>
      </c>
      <c r="B140" t="s">
        <v>145</v>
      </c>
      <c r="C140">
        <v>0.24078947368421053</v>
      </c>
    </row>
    <row r="141" spans="1:3" x14ac:dyDescent="0.25">
      <c r="A141">
        <v>2</v>
      </c>
      <c r="B141" t="s">
        <v>146</v>
      </c>
      <c r="C141">
        <v>1.1842105263157897E-2</v>
      </c>
    </row>
    <row r="142" spans="1:3" x14ac:dyDescent="0.25">
      <c r="A142">
        <v>2</v>
      </c>
      <c r="B142" t="s">
        <v>147</v>
      </c>
      <c r="C142">
        <v>4.3421052631578944E-2</v>
      </c>
    </row>
    <row r="143" spans="1:3" x14ac:dyDescent="0.25">
      <c r="A143">
        <v>2</v>
      </c>
      <c r="B143" t="s">
        <v>148</v>
      </c>
      <c r="C143">
        <v>1.1842105263157897E-2</v>
      </c>
    </row>
    <row r="144" spans="1:3" x14ac:dyDescent="0.25">
      <c r="A144">
        <v>2</v>
      </c>
      <c r="B144" t="s">
        <v>149</v>
      </c>
      <c r="C144">
        <v>0</v>
      </c>
    </row>
    <row r="145" spans="1:3" x14ac:dyDescent="0.25">
      <c r="A145">
        <v>2</v>
      </c>
      <c r="B145" t="s">
        <v>150</v>
      </c>
      <c r="C145">
        <v>0</v>
      </c>
    </row>
    <row r="146" spans="1:3" x14ac:dyDescent="0.25">
      <c r="A146">
        <v>3</v>
      </c>
      <c r="B146" s="6">
        <v>10101</v>
      </c>
      <c r="C146">
        <v>0.18450631160297423</v>
      </c>
    </row>
    <row r="147" spans="1:3" x14ac:dyDescent="0.25">
      <c r="A147">
        <v>3</v>
      </c>
      <c r="B147" t="s">
        <v>80</v>
      </c>
      <c r="C147">
        <v>0.81549368839702585</v>
      </c>
    </row>
    <row r="148" spans="1:3" x14ac:dyDescent="0.25">
      <c r="A148">
        <v>3</v>
      </c>
      <c r="B148" t="s">
        <v>81</v>
      </c>
      <c r="C148">
        <v>0.30641535535189346</v>
      </c>
    </row>
    <row r="149" spans="1:3" x14ac:dyDescent="0.25">
      <c r="A149">
        <v>3</v>
      </c>
      <c r="B149" t="s">
        <v>82</v>
      </c>
      <c r="C149">
        <v>0.69358464464810654</v>
      </c>
    </row>
    <row r="150" spans="1:3" x14ac:dyDescent="0.25">
      <c r="A150">
        <v>3</v>
      </c>
      <c r="B150" t="s">
        <v>83</v>
      </c>
      <c r="C150">
        <v>0.58464464810651906</v>
      </c>
    </row>
    <row r="151" spans="1:3" x14ac:dyDescent="0.25">
      <c r="A151">
        <v>3</v>
      </c>
      <c r="B151" t="s">
        <v>84</v>
      </c>
      <c r="C151">
        <v>0.41535535189348088</v>
      </c>
    </row>
    <row r="152" spans="1:3" x14ac:dyDescent="0.25">
      <c r="A152">
        <v>3</v>
      </c>
      <c r="B152" t="s">
        <v>85</v>
      </c>
      <c r="C152">
        <v>5.3441715669318574E-2</v>
      </c>
    </row>
    <row r="153" spans="1:3" x14ac:dyDescent="0.25">
      <c r="A153">
        <v>3</v>
      </c>
      <c r="B153" t="s">
        <v>86</v>
      </c>
      <c r="C153">
        <v>0.94655828433068157</v>
      </c>
    </row>
    <row r="154" spans="1:3" x14ac:dyDescent="0.25">
      <c r="A154">
        <v>3</v>
      </c>
      <c r="B154" t="s">
        <v>87</v>
      </c>
      <c r="C154">
        <v>0.43964026288481489</v>
      </c>
    </row>
    <row r="155" spans="1:3" x14ac:dyDescent="0.25">
      <c r="A155">
        <v>3</v>
      </c>
      <c r="B155" t="s">
        <v>88</v>
      </c>
      <c r="C155">
        <v>0.56035973711518505</v>
      </c>
    </row>
    <row r="156" spans="1:3" x14ac:dyDescent="0.25">
      <c r="A156">
        <v>3</v>
      </c>
      <c r="B156" t="s">
        <v>89</v>
      </c>
      <c r="C156">
        <v>0.61658474032913013</v>
      </c>
    </row>
    <row r="157" spans="1:3" x14ac:dyDescent="0.25">
      <c r="A157">
        <v>3</v>
      </c>
      <c r="B157" t="s">
        <v>90</v>
      </c>
      <c r="C157">
        <v>0.38341525967086987</v>
      </c>
    </row>
    <row r="158" spans="1:3" x14ac:dyDescent="0.25">
      <c r="A158">
        <v>3</v>
      </c>
      <c r="B158" t="s">
        <v>91</v>
      </c>
      <c r="C158">
        <v>5.8965934636002075E-2</v>
      </c>
    </row>
    <row r="159" spans="1:3" x14ac:dyDescent="0.25">
      <c r="A159">
        <v>3</v>
      </c>
      <c r="B159" t="s">
        <v>92</v>
      </c>
      <c r="C159">
        <v>0.13366764655023344</v>
      </c>
    </row>
    <row r="160" spans="1:3" x14ac:dyDescent="0.25">
      <c r="A160">
        <v>3</v>
      </c>
      <c r="B160" t="s">
        <v>93</v>
      </c>
      <c r="C160">
        <v>5.9311775894864256E-2</v>
      </c>
    </row>
    <row r="161" spans="1:3" x14ac:dyDescent="0.25">
      <c r="A161">
        <v>3</v>
      </c>
      <c r="B161" t="s">
        <v>94</v>
      </c>
      <c r="C161">
        <v>0.74131073837108763</v>
      </c>
    </row>
    <row r="162" spans="1:3" x14ac:dyDescent="0.25">
      <c r="A162">
        <v>3</v>
      </c>
      <c r="B162" t="s">
        <v>95</v>
      </c>
      <c r="C162">
        <v>6.7439045478125534E-3</v>
      </c>
    </row>
    <row r="163" spans="1:3" x14ac:dyDescent="0.25">
      <c r="A163">
        <v>3</v>
      </c>
      <c r="B163" t="s">
        <v>96</v>
      </c>
      <c r="C163">
        <v>0.31258644536652835</v>
      </c>
    </row>
    <row r="164" spans="1:3" x14ac:dyDescent="0.25">
      <c r="A164">
        <v>3</v>
      </c>
      <c r="B164" t="s">
        <v>97</v>
      </c>
      <c r="C164">
        <v>0.16701244813278004</v>
      </c>
    </row>
    <row r="165" spans="1:3" x14ac:dyDescent="0.25">
      <c r="A165">
        <v>3</v>
      </c>
      <c r="B165" t="s">
        <v>98</v>
      </c>
      <c r="C165">
        <v>0.46075380359612722</v>
      </c>
    </row>
    <row r="166" spans="1:3" x14ac:dyDescent="0.25">
      <c r="A166">
        <v>3</v>
      </c>
      <c r="B166" t="s">
        <v>99</v>
      </c>
      <c r="C166">
        <v>5.9647302904564319E-2</v>
      </c>
    </row>
    <row r="167" spans="1:3" x14ac:dyDescent="0.25">
      <c r="A167">
        <v>3</v>
      </c>
      <c r="B167" t="s">
        <v>100</v>
      </c>
      <c r="C167">
        <v>0.38341525967086987</v>
      </c>
    </row>
    <row r="168" spans="1:3" x14ac:dyDescent="0.25">
      <c r="A168">
        <v>3</v>
      </c>
      <c r="B168" t="s">
        <v>101</v>
      </c>
      <c r="C168">
        <v>6.7535798247488774E-2</v>
      </c>
    </row>
    <row r="169" spans="1:3" x14ac:dyDescent="0.25">
      <c r="A169">
        <v>3</v>
      </c>
      <c r="B169" t="s">
        <v>102</v>
      </c>
      <c r="C169">
        <v>0</v>
      </c>
    </row>
    <row r="170" spans="1:3" x14ac:dyDescent="0.25">
      <c r="A170">
        <v>3</v>
      </c>
      <c r="B170" t="s">
        <v>103</v>
      </c>
      <c r="C170">
        <v>6.1979055353708047E-2</v>
      </c>
    </row>
    <row r="171" spans="1:3" x14ac:dyDescent="0.25">
      <c r="A171">
        <v>3</v>
      </c>
      <c r="B171" t="s">
        <v>104</v>
      </c>
      <c r="C171">
        <v>0.20303483650352638</v>
      </c>
    </row>
    <row r="172" spans="1:3" x14ac:dyDescent="0.25">
      <c r="A172">
        <v>3</v>
      </c>
      <c r="B172" t="s">
        <v>105</v>
      </c>
      <c r="C172">
        <v>0.28403505022440695</v>
      </c>
    </row>
    <row r="173" spans="1:3" x14ac:dyDescent="0.25">
      <c r="A173">
        <v>3</v>
      </c>
      <c r="B173" t="s">
        <v>106</v>
      </c>
      <c r="C173">
        <v>0.35599377270368449</v>
      </c>
    </row>
    <row r="174" spans="1:3" x14ac:dyDescent="0.25">
      <c r="A174">
        <v>3</v>
      </c>
      <c r="B174" t="s">
        <v>107</v>
      </c>
      <c r="C174">
        <v>0.26863864383324687</v>
      </c>
    </row>
    <row r="175" spans="1:3" x14ac:dyDescent="0.25">
      <c r="A175">
        <v>3</v>
      </c>
      <c r="B175" t="s">
        <v>108</v>
      </c>
      <c r="C175">
        <v>0.18578100674623768</v>
      </c>
    </row>
    <row r="176" spans="1:3" x14ac:dyDescent="0.25">
      <c r="A176">
        <v>3</v>
      </c>
      <c r="B176" t="s">
        <v>109</v>
      </c>
      <c r="C176">
        <v>5.8813354090987716E-2</v>
      </c>
    </row>
    <row r="177" spans="1:3" x14ac:dyDescent="0.25">
      <c r="A177">
        <v>3</v>
      </c>
      <c r="B177" t="s">
        <v>110</v>
      </c>
      <c r="C177">
        <v>1.798996713371389E-2</v>
      </c>
    </row>
    <row r="178" spans="1:3" x14ac:dyDescent="0.25">
      <c r="A178">
        <v>3</v>
      </c>
      <c r="B178" t="s">
        <v>111</v>
      </c>
      <c r="C178">
        <v>6.2272963155163466E-2</v>
      </c>
    </row>
    <row r="179" spans="1:3" x14ac:dyDescent="0.25">
      <c r="A179">
        <v>3</v>
      </c>
      <c r="B179" t="s">
        <v>112</v>
      </c>
      <c r="C179">
        <v>5.0510292336965926E-2</v>
      </c>
    </row>
    <row r="180" spans="1:3" x14ac:dyDescent="0.25">
      <c r="A180">
        <v>3</v>
      </c>
      <c r="B180" t="s">
        <v>113</v>
      </c>
      <c r="C180">
        <v>0.26911041573535988</v>
      </c>
    </row>
    <row r="181" spans="1:3" x14ac:dyDescent="0.25">
      <c r="A181">
        <v>3</v>
      </c>
      <c r="B181" t="s">
        <v>114</v>
      </c>
      <c r="C181">
        <v>0.31895395619132766</v>
      </c>
    </row>
    <row r="182" spans="1:3" x14ac:dyDescent="0.25">
      <c r="A182">
        <v>3</v>
      </c>
      <c r="B182" t="s">
        <v>115</v>
      </c>
      <c r="C182">
        <v>0.24452391595887349</v>
      </c>
    </row>
    <row r="183" spans="1:3" x14ac:dyDescent="0.25">
      <c r="A183">
        <v>3</v>
      </c>
      <c r="B183" t="s">
        <v>116</v>
      </c>
      <c r="C183">
        <v>0.12874385337505587</v>
      </c>
    </row>
    <row r="184" spans="1:3" x14ac:dyDescent="0.25">
      <c r="A184">
        <v>3</v>
      </c>
      <c r="B184" t="s">
        <v>117</v>
      </c>
      <c r="C184">
        <v>2.9950827000447027E-2</v>
      </c>
    </row>
    <row r="185" spans="1:3" x14ac:dyDescent="0.25">
      <c r="A185">
        <v>3</v>
      </c>
      <c r="B185" t="s">
        <v>118</v>
      </c>
      <c r="C185">
        <v>8.7170317389360756E-3</v>
      </c>
    </row>
    <row r="186" spans="1:3" x14ac:dyDescent="0.25">
      <c r="A186">
        <v>3</v>
      </c>
      <c r="B186" t="s">
        <v>119</v>
      </c>
      <c r="C186">
        <v>0</v>
      </c>
    </row>
    <row r="187" spans="1:3" x14ac:dyDescent="0.25">
      <c r="A187">
        <v>3</v>
      </c>
      <c r="B187" t="s">
        <v>120</v>
      </c>
      <c r="C187">
        <v>0.26911041573535988</v>
      </c>
    </row>
    <row r="188" spans="1:3" x14ac:dyDescent="0.25">
      <c r="A188">
        <v>3</v>
      </c>
      <c r="B188" t="s">
        <v>121</v>
      </c>
      <c r="C188">
        <v>0.56347787215020118</v>
      </c>
    </row>
    <row r="189" spans="1:3" x14ac:dyDescent="0.25">
      <c r="A189">
        <v>3</v>
      </c>
      <c r="B189" t="s">
        <v>122</v>
      </c>
      <c r="C189">
        <v>0.15869468037550288</v>
      </c>
    </row>
    <row r="190" spans="1:3" x14ac:dyDescent="0.25">
      <c r="A190">
        <v>3</v>
      </c>
      <c r="B190" t="s">
        <v>123</v>
      </c>
      <c r="C190">
        <v>8.7170317389360756E-3</v>
      </c>
    </row>
    <row r="191" spans="1:3" x14ac:dyDescent="0.25">
      <c r="A191">
        <v>3</v>
      </c>
      <c r="B191" t="s">
        <v>124</v>
      </c>
      <c r="C191">
        <v>0.94843462246777166</v>
      </c>
    </row>
    <row r="192" spans="1:3" x14ac:dyDescent="0.25">
      <c r="A192">
        <v>3</v>
      </c>
      <c r="B192" t="s">
        <v>125</v>
      </c>
      <c r="C192">
        <v>0</v>
      </c>
    </row>
    <row r="193" spans="1:3" x14ac:dyDescent="0.25">
      <c r="A193">
        <v>3</v>
      </c>
      <c r="B193" t="s">
        <v>126</v>
      </c>
      <c r="C193">
        <v>0</v>
      </c>
    </row>
    <row r="194" spans="1:3" x14ac:dyDescent="0.25">
      <c r="A194">
        <v>3</v>
      </c>
      <c r="B194" t="s">
        <v>127</v>
      </c>
      <c r="C194">
        <v>0</v>
      </c>
    </row>
    <row r="195" spans="1:3" x14ac:dyDescent="0.25">
      <c r="A195">
        <v>3</v>
      </c>
      <c r="B195" t="s">
        <v>128</v>
      </c>
      <c r="C195">
        <v>1.0128913443830571E-2</v>
      </c>
    </row>
    <row r="196" spans="1:3" x14ac:dyDescent="0.25">
      <c r="A196">
        <v>3</v>
      </c>
      <c r="B196" t="s">
        <v>129</v>
      </c>
      <c r="C196">
        <v>0</v>
      </c>
    </row>
    <row r="197" spans="1:3" x14ac:dyDescent="0.25">
      <c r="A197">
        <v>3</v>
      </c>
      <c r="B197" t="s">
        <v>130</v>
      </c>
      <c r="C197">
        <v>2.7808471454880291E-2</v>
      </c>
    </row>
    <row r="198" spans="1:3" x14ac:dyDescent="0.25">
      <c r="A198">
        <v>3</v>
      </c>
      <c r="B198" t="s">
        <v>131</v>
      </c>
      <c r="C198">
        <v>1.3627992633517496E-2</v>
      </c>
    </row>
    <row r="199" spans="1:3" x14ac:dyDescent="0.25">
      <c r="A199">
        <v>3</v>
      </c>
      <c r="B199" t="s">
        <v>132</v>
      </c>
      <c r="C199">
        <v>0.57174433597347574</v>
      </c>
    </row>
    <row r="200" spans="1:3" x14ac:dyDescent="0.25">
      <c r="A200">
        <v>3</v>
      </c>
      <c r="B200" t="s">
        <v>133</v>
      </c>
      <c r="C200">
        <v>0</v>
      </c>
    </row>
    <row r="201" spans="1:3" x14ac:dyDescent="0.25">
      <c r="A201">
        <v>3</v>
      </c>
      <c r="B201" t="s">
        <v>134</v>
      </c>
      <c r="C201">
        <v>0</v>
      </c>
    </row>
    <row r="202" spans="1:3" x14ac:dyDescent="0.25">
      <c r="A202">
        <v>3</v>
      </c>
      <c r="B202" t="s">
        <v>135</v>
      </c>
      <c r="C202">
        <v>0</v>
      </c>
    </row>
    <row r="203" spans="1:3" x14ac:dyDescent="0.25">
      <c r="A203">
        <v>3</v>
      </c>
      <c r="B203" t="s">
        <v>136</v>
      </c>
      <c r="C203">
        <v>1.363050285503776E-2</v>
      </c>
    </row>
    <row r="204" spans="1:3" x14ac:dyDescent="0.25">
      <c r="A204">
        <v>3</v>
      </c>
      <c r="B204" t="s">
        <v>137</v>
      </c>
      <c r="C204">
        <v>8.0309449254006265E-2</v>
      </c>
    </row>
    <row r="205" spans="1:3" x14ac:dyDescent="0.25">
      <c r="A205">
        <v>3</v>
      </c>
      <c r="B205" t="s">
        <v>138</v>
      </c>
      <c r="C205">
        <v>0</v>
      </c>
    </row>
    <row r="206" spans="1:3" x14ac:dyDescent="0.25">
      <c r="A206">
        <v>3</v>
      </c>
      <c r="B206" t="s">
        <v>139</v>
      </c>
      <c r="C206">
        <v>0</v>
      </c>
    </row>
    <row r="207" spans="1:3" x14ac:dyDescent="0.25">
      <c r="A207">
        <v>3</v>
      </c>
      <c r="B207" t="s">
        <v>140</v>
      </c>
      <c r="C207">
        <v>0.17719653711549088</v>
      </c>
    </row>
    <row r="208" spans="1:3" x14ac:dyDescent="0.25">
      <c r="A208">
        <v>3</v>
      </c>
      <c r="B208" t="s">
        <v>141</v>
      </c>
      <c r="C208">
        <v>0</v>
      </c>
    </row>
    <row r="209" spans="1:3" x14ac:dyDescent="0.25">
      <c r="A209">
        <v>3</v>
      </c>
      <c r="B209" t="s">
        <v>142</v>
      </c>
      <c r="C209">
        <v>1.3998894824092835E-2</v>
      </c>
    </row>
    <row r="210" spans="1:3" x14ac:dyDescent="0.25">
      <c r="A210">
        <v>3</v>
      </c>
      <c r="B210" t="s">
        <v>143</v>
      </c>
      <c r="C210">
        <v>0</v>
      </c>
    </row>
    <row r="211" spans="1:3" x14ac:dyDescent="0.25">
      <c r="A211">
        <v>3</v>
      </c>
      <c r="B211" t="s">
        <v>144</v>
      </c>
      <c r="C211">
        <v>0</v>
      </c>
    </row>
    <row r="212" spans="1:3" x14ac:dyDescent="0.25">
      <c r="A212">
        <v>3</v>
      </c>
      <c r="B212" t="s">
        <v>145</v>
      </c>
      <c r="C212">
        <v>0.10462331921164118</v>
      </c>
    </row>
    <row r="213" spans="1:3" x14ac:dyDescent="0.25">
      <c r="A213">
        <v>3</v>
      </c>
      <c r="B213" t="s">
        <v>146</v>
      </c>
      <c r="C213">
        <v>1.0314975133542091E-2</v>
      </c>
    </row>
    <row r="214" spans="1:3" x14ac:dyDescent="0.25">
      <c r="A214">
        <v>3</v>
      </c>
      <c r="B214" t="s">
        <v>147</v>
      </c>
      <c r="C214">
        <v>2.0998342236139257E-2</v>
      </c>
    </row>
    <row r="215" spans="1:3" x14ac:dyDescent="0.25">
      <c r="A215">
        <v>3</v>
      </c>
      <c r="B215" t="s">
        <v>148</v>
      </c>
      <c r="C215">
        <v>7.1836433965739551E-3</v>
      </c>
    </row>
    <row r="216" spans="1:3" x14ac:dyDescent="0.25">
      <c r="A216">
        <v>3</v>
      </c>
      <c r="B216" t="s">
        <v>149</v>
      </c>
      <c r="C216">
        <v>0</v>
      </c>
    </row>
    <row r="217" spans="1:3" x14ac:dyDescent="0.25">
      <c r="A217">
        <v>3</v>
      </c>
      <c r="B217" t="s">
        <v>150</v>
      </c>
      <c r="C2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13" sqref="C13"/>
    </sheetView>
  </sheetViews>
  <sheetFormatPr baseColWidth="10" defaultRowHeight="15" x14ac:dyDescent="0.25"/>
  <cols>
    <col min="1" max="1" width="56.28515625" customWidth="1"/>
    <col min="5" max="6" width="15.28515625" bestFit="1" customWidth="1"/>
  </cols>
  <sheetData>
    <row r="1" spans="1:6" x14ac:dyDescent="0.25">
      <c r="A1" s="59" t="s">
        <v>154</v>
      </c>
      <c r="B1" s="59" t="s">
        <v>153</v>
      </c>
      <c r="C1" s="59" t="s">
        <v>155</v>
      </c>
      <c r="D1" s="59" t="s">
        <v>156</v>
      </c>
      <c r="E1" s="59" t="s">
        <v>157</v>
      </c>
      <c r="F1" s="59" t="s">
        <v>158</v>
      </c>
    </row>
    <row r="2" spans="1:6" x14ac:dyDescent="0.25">
      <c r="A2" s="59" t="s">
        <v>159</v>
      </c>
      <c r="B2" s="59">
        <v>1</v>
      </c>
      <c r="C2" s="59">
        <v>94007010</v>
      </c>
      <c r="D2" s="59" t="s">
        <v>160</v>
      </c>
      <c r="E2" s="60">
        <v>-53.786326000000003</v>
      </c>
      <c r="F2" s="60">
        <v>-67.696327999999994</v>
      </c>
    </row>
    <row r="3" spans="1:6" x14ac:dyDescent="0.25">
      <c r="A3" s="59" t="s">
        <v>161</v>
      </c>
      <c r="B3" s="59">
        <v>2</v>
      </c>
      <c r="C3" s="59">
        <v>94007020</v>
      </c>
      <c r="D3" s="59" t="s">
        <v>2</v>
      </c>
      <c r="E3" s="60">
        <v>-54.511439000000003</v>
      </c>
      <c r="F3" s="60">
        <v>-67.195171999999999</v>
      </c>
    </row>
    <row r="4" spans="1:6" x14ac:dyDescent="0.25">
      <c r="A4" s="59" t="s">
        <v>162</v>
      </c>
      <c r="B4" s="59">
        <v>3</v>
      </c>
      <c r="C4" s="59">
        <v>94014020</v>
      </c>
      <c r="D4" s="59" t="s">
        <v>1</v>
      </c>
      <c r="E4" s="60">
        <v>-54.807403999999998</v>
      </c>
      <c r="F4" s="60">
        <v>-68.303757000000004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COMPLETO</vt:lpstr>
      <vt:lpstr>referencia</vt:lpstr>
      <vt:lpstr>datos</vt:lpstr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holguin</dc:creator>
  <cp:lastModifiedBy> </cp:lastModifiedBy>
  <dcterms:created xsi:type="dcterms:W3CDTF">2026-03-26T21:03:37Z</dcterms:created>
  <dcterms:modified xsi:type="dcterms:W3CDTF">2026-03-30T04:05:44Z</dcterms:modified>
</cp:coreProperties>
</file>